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piga\Desktop\Eng_Project\outputs\drone-sizing-20260927\"/>
    </mc:Choice>
  </mc:AlternateContent>
  <xr:revisionPtr revIDLastSave="0" documentId="13_ncr:1_{B2E969B9-5560-4938-8AFB-23C441E54B42}" xr6:coauthVersionLast="47" xr6:coauthVersionMax="47" xr10:uidLastSave="{00000000-0000-0000-0000-000000000000}"/>
  <bookViews>
    <workbookView xWindow="828" yWindow="144" windowWidth="21252" windowHeight="13536" xr2:uid="{00000000-000D-0000-FFFF-FFFF00000000}"/>
  </bookViews>
  <sheets>
    <sheet name="Overview" sheetId="1" r:id="rId1"/>
    <sheet name="Inputs" sheetId="2" r:id="rId2"/>
    <sheet name="Mission" sheetId="3" r:id="rId3"/>
    <sheet name="Model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4" l="1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W38" i="4"/>
  <c r="S38" i="4"/>
  <c r="O38" i="4"/>
  <c r="X38" i="4" s="1"/>
  <c r="N38" i="4"/>
  <c r="M38" i="4"/>
  <c r="L38" i="4"/>
  <c r="J38" i="4"/>
  <c r="I38" i="4"/>
  <c r="K38" i="4" s="1"/>
  <c r="W37" i="4"/>
  <c r="S37" i="4"/>
  <c r="O37" i="4"/>
  <c r="X37" i="4" s="1"/>
  <c r="N37" i="4"/>
  <c r="M37" i="4"/>
  <c r="L37" i="4"/>
  <c r="J37" i="4"/>
  <c r="I37" i="4"/>
  <c r="W36" i="4"/>
  <c r="S36" i="4"/>
  <c r="O36" i="4"/>
  <c r="X36" i="4" s="1"/>
  <c r="N36" i="4"/>
  <c r="M36" i="4"/>
  <c r="L36" i="4"/>
  <c r="J36" i="4"/>
  <c r="I36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9" i="4"/>
  <c r="D9" i="4"/>
  <c r="E8" i="4"/>
  <c r="D8" i="4"/>
  <c r="C8" i="4"/>
  <c r="G8" i="4" s="1"/>
  <c r="C17" i="3"/>
  <c r="C27" i="1" s="1"/>
  <c r="C16" i="3"/>
  <c r="C26" i="1" s="1"/>
  <c r="F8" i="3"/>
  <c r="E8" i="3"/>
  <c r="D8" i="3"/>
  <c r="E48" i="2"/>
  <c r="E47" i="2"/>
  <c r="E46" i="2"/>
  <c r="E45" i="2"/>
  <c r="E44" i="2"/>
  <c r="E43" i="2"/>
  <c r="E42" i="2"/>
  <c r="E41" i="2"/>
  <c r="E40" i="2"/>
  <c r="E39" i="2"/>
  <c r="E38" i="2"/>
  <c r="E37" i="2"/>
  <c r="E34" i="2"/>
  <c r="E33" i="2"/>
  <c r="G12" i="3" s="1"/>
  <c r="F13" i="3" s="1"/>
  <c r="E32" i="2"/>
  <c r="E31" i="2"/>
  <c r="E30" i="2"/>
  <c r="E29" i="2"/>
  <c r="E28" i="2"/>
  <c r="E27" i="2"/>
  <c r="E26" i="2"/>
  <c r="E25" i="2"/>
  <c r="E19" i="2"/>
  <c r="E18" i="2"/>
  <c r="E17" i="2"/>
  <c r="E16" i="2"/>
  <c r="E15" i="2"/>
  <c r="E14" i="2"/>
  <c r="E13" i="2"/>
  <c r="E12" i="2"/>
  <c r="C11" i="2"/>
  <c r="E11" i="2" s="1"/>
  <c r="C10" i="2"/>
  <c r="E10" i="2" s="1"/>
  <c r="C9" i="2"/>
  <c r="E9" i="2" s="1"/>
  <c r="E8" i="2"/>
  <c r="C43" i="1"/>
  <c r="C42" i="1"/>
  <c r="C58" i="2" l="1"/>
  <c r="H8" i="4" s="1"/>
  <c r="Y36" i="4"/>
  <c r="Z36" i="4" s="1"/>
  <c r="AA36" i="4" s="1"/>
  <c r="AB36" i="4" s="1"/>
  <c r="AC36" i="4" s="1"/>
  <c r="AD36" i="4" s="1"/>
  <c r="AE36" i="4" s="1"/>
  <c r="AF36" i="4" s="1"/>
  <c r="AG36" i="4" s="1"/>
  <c r="AH36" i="4" s="1"/>
  <c r="AI36" i="4" s="1"/>
  <c r="AJ36" i="4" s="1"/>
  <c r="AK36" i="4" s="1"/>
  <c r="AL36" i="4" s="1"/>
  <c r="AM36" i="4" s="1"/>
  <c r="AN36" i="4" s="1"/>
  <c r="AO36" i="4" s="1"/>
  <c r="AP36" i="4" s="1"/>
  <c r="AQ36" i="4" s="1"/>
  <c r="AR36" i="4" s="1"/>
  <c r="AS36" i="4" s="1"/>
  <c r="AT36" i="4" s="1"/>
  <c r="AU36" i="4" s="1"/>
  <c r="P36" i="4" s="1"/>
  <c r="C53" i="2"/>
  <c r="C20" i="1" s="1"/>
  <c r="Y37" i="4"/>
  <c r="Z37" i="4" s="1"/>
  <c r="AA37" i="4" s="1"/>
  <c r="AB37" i="4" s="1"/>
  <c r="AC37" i="4" s="1"/>
  <c r="AD37" i="4" s="1"/>
  <c r="AE37" i="4" s="1"/>
  <c r="AF37" i="4" s="1"/>
  <c r="AG37" i="4" s="1"/>
  <c r="AH37" i="4" s="1"/>
  <c r="AI37" i="4" s="1"/>
  <c r="AJ37" i="4" s="1"/>
  <c r="AK37" i="4" s="1"/>
  <c r="AL37" i="4" s="1"/>
  <c r="AM37" i="4" s="1"/>
  <c r="AN37" i="4" s="1"/>
  <c r="AO37" i="4" s="1"/>
  <c r="AP37" i="4" s="1"/>
  <c r="AQ37" i="4" s="1"/>
  <c r="AR37" i="4" s="1"/>
  <c r="AS37" i="4" s="1"/>
  <c r="AT37" i="4" s="1"/>
  <c r="AU37" i="4" s="1"/>
  <c r="P37" i="4" s="1"/>
  <c r="Y38" i="4"/>
  <c r="Z38" i="4" s="1"/>
  <c r="AA38" i="4" s="1"/>
  <c r="AB38" i="4" s="1"/>
  <c r="AC38" i="4" s="1"/>
  <c r="AD38" i="4" s="1"/>
  <c r="AE38" i="4" s="1"/>
  <c r="AF38" i="4" s="1"/>
  <c r="AG38" i="4" s="1"/>
  <c r="AH38" i="4" s="1"/>
  <c r="AI38" i="4" s="1"/>
  <c r="AJ38" i="4" s="1"/>
  <c r="AK38" i="4" s="1"/>
  <c r="AL38" i="4" s="1"/>
  <c r="AM38" i="4" s="1"/>
  <c r="AN38" i="4" s="1"/>
  <c r="AO38" i="4" s="1"/>
  <c r="AP38" i="4" s="1"/>
  <c r="AQ38" i="4" s="1"/>
  <c r="AR38" i="4" s="1"/>
  <c r="AS38" i="4" s="1"/>
  <c r="AT38" i="4" s="1"/>
  <c r="AU38" i="4" s="1"/>
  <c r="P38" i="4" s="1"/>
  <c r="Q38" i="4" s="1"/>
  <c r="C52" i="2"/>
  <c r="C26" i="4"/>
  <c r="G26" i="4" s="1"/>
  <c r="C9" i="4"/>
  <c r="C15" i="4"/>
  <c r="G15" i="4" s="1"/>
  <c r="C19" i="4"/>
  <c r="G19" i="4" s="1"/>
  <c r="C62" i="2"/>
  <c r="G10" i="3"/>
  <c r="E38" i="4"/>
  <c r="E37" i="4"/>
  <c r="G13" i="3"/>
  <c r="C51" i="4" s="1"/>
  <c r="G51" i="4" s="1"/>
  <c r="C14" i="4"/>
  <c r="G14" i="4" s="1"/>
  <c r="C18" i="4"/>
  <c r="G18" i="4" s="1"/>
  <c r="C22" i="4"/>
  <c r="G22" i="4" s="1"/>
  <c r="C30" i="4"/>
  <c r="G30" i="4" s="1"/>
  <c r="E36" i="4"/>
  <c r="T37" i="4"/>
  <c r="K36" i="4"/>
  <c r="G8" i="3"/>
  <c r="F9" i="3" s="1"/>
  <c r="G11" i="3"/>
  <c r="C23" i="4"/>
  <c r="G23" i="4" s="1"/>
  <c r="C13" i="4"/>
  <c r="G13" i="4" s="1"/>
  <c r="C17" i="4"/>
  <c r="G17" i="4" s="1"/>
  <c r="C21" i="4"/>
  <c r="G21" i="4" s="1"/>
  <c r="G14" i="3"/>
  <c r="T38" i="4"/>
  <c r="T36" i="4"/>
  <c r="C31" i="4"/>
  <c r="G31" i="4" s="1"/>
  <c r="C27" i="4"/>
  <c r="G27" i="4" s="1"/>
  <c r="C32" i="4"/>
  <c r="G32" i="4" s="1"/>
  <c r="C28" i="4"/>
  <c r="G28" i="4" s="1"/>
  <c r="C24" i="4"/>
  <c r="G24" i="4" s="1"/>
  <c r="C29" i="4"/>
  <c r="G29" i="4" s="1"/>
  <c r="C25" i="4"/>
  <c r="G25" i="4" s="1"/>
  <c r="G9" i="3"/>
  <c r="C57" i="2"/>
  <c r="C12" i="4"/>
  <c r="G12" i="4" s="1"/>
  <c r="C16" i="4"/>
  <c r="G16" i="4" s="1"/>
  <c r="C20" i="4"/>
  <c r="G20" i="4" s="1"/>
  <c r="K37" i="4"/>
  <c r="H28" i="4" l="1"/>
  <c r="H14" i="4"/>
  <c r="H27" i="4"/>
  <c r="H22" i="4"/>
  <c r="H31" i="4"/>
  <c r="H16" i="4"/>
  <c r="H13" i="4"/>
  <c r="H19" i="4"/>
  <c r="H25" i="4"/>
  <c r="H23" i="4"/>
  <c r="H15" i="4"/>
  <c r="H29" i="4"/>
  <c r="H24" i="4"/>
  <c r="H26" i="4"/>
  <c r="H21" i="4"/>
  <c r="H17" i="4"/>
  <c r="H32" i="4"/>
  <c r="H30" i="4"/>
  <c r="Q37" i="4"/>
  <c r="U37" i="4"/>
  <c r="Q36" i="4"/>
  <c r="U38" i="4"/>
  <c r="C37" i="4"/>
  <c r="G37" i="4" s="1"/>
  <c r="H37" i="4" s="1"/>
  <c r="C54" i="2"/>
  <c r="D20" i="2" s="1"/>
  <c r="E20" i="2" s="1"/>
  <c r="E21" i="2" s="1"/>
  <c r="C55" i="2" s="1"/>
  <c r="C59" i="2"/>
  <c r="C60" i="2" s="1"/>
  <c r="C22" i="1" s="1"/>
  <c r="F14" i="3"/>
  <c r="H14" i="3" s="1"/>
  <c r="H13" i="3"/>
  <c r="C39" i="4"/>
  <c r="G39" i="4" s="1"/>
  <c r="C40" i="4"/>
  <c r="G40" i="4" s="1"/>
  <c r="C41" i="4"/>
  <c r="G41" i="4" s="1"/>
  <c r="C53" i="4"/>
  <c r="G53" i="4" s="1"/>
  <c r="C52" i="4"/>
  <c r="G52" i="4" s="1"/>
  <c r="K8" i="3"/>
  <c r="I8" i="3"/>
  <c r="J8" i="3" s="1"/>
  <c r="U36" i="4"/>
  <c r="H8" i="3"/>
  <c r="V38" i="4"/>
  <c r="H12" i="4"/>
  <c r="F11" i="3"/>
  <c r="H11" i="3" s="1"/>
  <c r="G9" i="4"/>
  <c r="C15" i="1"/>
  <c r="C16" i="1" s="1"/>
  <c r="H9" i="3"/>
  <c r="F10" i="3"/>
  <c r="C36" i="4"/>
  <c r="G36" i="4" s="1"/>
  <c r="C38" i="4"/>
  <c r="G38" i="4" s="1"/>
  <c r="V36" i="4"/>
  <c r="V37" i="4"/>
  <c r="H51" i="4"/>
  <c r="H18" i="4"/>
  <c r="F12" i="3"/>
  <c r="H20" i="4"/>
  <c r="R37" i="4" l="1"/>
  <c r="I32" i="4"/>
  <c r="R32" i="4" s="1"/>
  <c r="C21" i="1"/>
  <c r="C61" i="2"/>
  <c r="C23" i="1" s="1"/>
  <c r="I8" i="4"/>
  <c r="R8" i="4" s="1"/>
  <c r="I26" i="4"/>
  <c r="R26" i="4" s="1"/>
  <c r="I16" i="4"/>
  <c r="R16" i="4" s="1"/>
  <c r="I14" i="4"/>
  <c r="R14" i="4" s="1"/>
  <c r="C56" i="2"/>
  <c r="J9" i="4" s="1"/>
  <c r="I15" i="4"/>
  <c r="R15" i="4" s="1"/>
  <c r="I17" i="4"/>
  <c r="R17" i="4" s="1"/>
  <c r="I13" i="4"/>
  <c r="R13" i="4" s="1"/>
  <c r="I30" i="4"/>
  <c r="R30" i="4" s="1"/>
  <c r="I12" i="4"/>
  <c r="R12" i="4" s="1"/>
  <c r="I22" i="4"/>
  <c r="R22" i="4" s="1"/>
  <c r="I21" i="4"/>
  <c r="R21" i="4" s="1"/>
  <c r="I31" i="4"/>
  <c r="I25" i="4"/>
  <c r="R25" i="4" s="1"/>
  <c r="I24" i="4"/>
  <c r="R24" i="4" s="1"/>
  <c r="C8" i="1"/>
  <c r="I19" i="4"/>
  <c r="R19" i="4" s="1"/>
  <c r="I29" i="4"/>
  <c r="I23" i="4"/>
  <c r="R23" i="4" s="1"/>
  <c r="I27" i="4"/>
  <c r="I20" i="4"/>
  <c r="R20" i="4" s="1"/>
  <c r="I18" i="4"/>
  <c r="R18" i="4" s="1"/>
  <c r="I28" i="4"/>
  <c r="R28" i="4" s="1"/>
  <c r="H41" i="4"/>
  <c r="H40" i="4"/>
  <c r="D54" i="4"/>
  <c r="D55" i="4"/>
  <c r="D56" i="4"/>
  <c r="D41" i="4"/>
  <c r="D39" i="4"/>
  <c r="D40" i="4"/>
  <c r="D46" i="4"/>
  <c r="D47" i="4"/>
  <c r="D45" i="4"/>
  <c r="C50" i="4"/>
  <c r="G50" i="4" s="1"/>
  <c r="C48" i="4"/>
  <c r="G48" i="4" s="1"/>
  <c r="C49" i="4"/>
  <c r="G49" i="4" s="1"/>
  <c r="H12" i="3"/>
  <c r="H39" i="4"/>
  <c r="D51" i="4"/>
  <c r="I51" i="4" s="1"/>
  <c r="D52" i="4"/>
  <c r="D53" i="4"/>
  <c r="C42" i="4"/>
  <c r="G42" i="4" s="1"/>
  <c r="C43" i="4"/>
  <c r="G43" i="4" s="1"/>
  <c r="C44" i="4"/>
  <c r="G44" i="4" s="1"/>
  <c r="C54" i="4"/>
  <c r="G54" i="4" s="1"/>
  <c r="C55" i="4"/>
  <c r="G55" i="4" s="1"/>
  <c r="C56" i="4"/>
  <c r="G56" i="4" s="1"/>
  <c r="H9" i="4"/>
  <c r="D37" i="4"/>
  <c r="D36" i="4"/>
  <c r="D38" i="4"/>
  <c r="H52" i="4"/>
  <c r="H10" i="3"/>
  <c r="R38" i="4"/>
  <c r="H38" i="4"/>
  <c r="H36" i="4"/>
  <c r="R36" i="4"/>
  <c r="C46" i="4"/>
  <c r="G46" i="4" s="1"/>
  <c r="C47" i="4"/>
  <c r="G47" i="4" s="1"/>
  <c r="C45" i="4"/>
  <c r="G45" i="4" s="1"/>
  <c r="H53" i="4"/>
  <c r="I53" i="4" l="1"/>
  <c r="R53" i="4" s="1"/>
  <c r="J32" i="4"/>
  <c r="K32" i="4" s="1"/>
  <c r="N32" i="4" s="1"/>
  <c r="J20" i="4"/>
  <c r="L20" i="4" s="1"/>
  <c r="J21" i="4"/>
  <c r="L21" i="4" s="1"/>
  <c r="J15" i="4"/>
  <c r="K15" i="4" s="1"/>
  <c r="J25" i="4"/>
  <c r="K25" i="4" s="1"/>
  <c r="J28" i="4"/>
  <c r="K28" i="4" s="1"/>
  <c r="N28" i="4" s="1"/>
  <c r="J30" i="4"/>
  <c r="L30" i="4" s="1"/>
  <c r="J54" i="4"/>
  <c r="J8" i="4"/>
  <c r="K8" i="4" s="1"/>
  <c r="C39" i="1" s="1"/>
  <c r="J43" i="4"/>
  <c r="J14" i="4"/>
  <c r="L14" i="4" s="1"/>
  <c r="J40" i="4"/>
  <c r="J18" i="4"/>
  <c r="K18" i="4" s="1"/>
  <c r="J19" i="4"/>
  <c r="L19" i="4" s="1"/>
  <c r="J22" i="4"/>
  <c r="K22" i="4" s="1"/>
  <c r="N22" i="4" s="1"/>
  <c r="J46" i="4"/>
  <c r="J50" i="4"/>
  <c r="J49" i="4"/>
  <c r="J31" i="4"/>
  <c r="K31" i="4" s="1"/>
  <c r="J23" i="4"/>
  <c r="L23" i="4" s="1"/>
  <c r="J24" i="4"/>
  <c r="K24" i="4" s="1"/>
  <c r="J17" i="4"/>
  <c r="K17" i="4" s="1"/>
  <c r="J12" i="4"/>
  <c r="L12" i="4" s="1"/>
  <c r="J42" i="4"/>
  <c r="J29" i="4"/>
  <c r="K29" i="4" s="1"/>
  <c r="N29" i="4" s="1"/>
  <c r="K20" i="4"/>
  <c r="M20" i="4" s="1"/>
  <c r="K12" i="4"/>
  <c r="M12" i="4" s="1"/>
  <c r="J47" i="4"/>
  <c r="J52" i="4"/>
  <c r="J51" i="4"/>
  <c r="K51" i="4" s="1"/>
  <c r="M51" i="4" s="1"/>
  <c r="J26" i="4"/>
  <c r="J39" i="4"/>
  <c r="J41" i="4"/>
  <c r="J44" i="4"/>
  <c r="J56" i="4"/>
  <c r="J13" i="4"/>
  <c r="K13" i="4" s="1"/>
  <c r="N13" i="4" s="1"/>
  <c r="J27" i="4"/>
  <c r="K27" i="4" s="1"/>
  <c r="M27" i="4" s="1"/>
  <c r="R29" i="4"/>
  <c r="J53" i="4"/>
  <c r="J16" i="4"/>
  <c r="L16" i="4" s="1"/>
  <c r="J45" i="4"/>
  <c r="J48" i="4"/>
  <c r="J55" i="4"/>
  <c r="R31" i="4"/>
  <c r="R27" i="4"/>
  <c r="R51" i="4"/>
  <c r="H42" i="4"/>
  <c r="H48" i="4"/>
  <c r="D42" i="4"/>
  <c r="D43" i="4"/>
  <c r="D44" i="4"/>
  <c r="K23" i="4"/>
  <c r="N23" i="4" s="1"/>
  <c r="H45" i="4"/>
  <c r="I45" i="4" s="1"/>
  <c r="H47" i="4"/>
  <c r="I47" i="4" s="1"/>
  <c r="I40" i="4"/>
  <c r="C9" i="1"/>
  <c r="I9" i="4"/>
  <c r="H46" i="4"/>
  <c r="I46" i="4" s="1"/>
  <c r="H56" i="4"/>
  <c r="I56" i="4" s="1"/>
  <c r="I39" i="4"/>
  <c r="I41" i="4"/>
  <c r="I52" i="4"/>
  <c r="H55" i="4"/>
  <c r="I55" i="4" s="1"/>
  <c r="H50" i="4"/>
  <c r="H54" i="4"/>
  <c r="I54" i="4" s="1"/>
  <c r="H44" i="4"/>
  <c r="D50" i="4"/>
  <c r="D48" i="4"/>
  <c r="D49" i="4"/>
  <c r="H43" i="4"/>
  <c r="H49" i="4"/>
  <c r="L53" i="4" l="1"/>
  <c r="L32" i="4"/>
  <c r="L24" i="4"/>
  <c r="L29" i="4"/>
  <c r="L25" i="4"/>
  <c r="K21" i="4"/>
  <c r="N21" i="4" s="1"/>
  <c r="K16" i="4"/>
  <c r="O16" i="4" s="1"/>
  <c r="X16" i="4" s="1"/>
  <c r="L15" i="4"/>
  <c r="L17" i="4"/>
  <c r="L28" i="4"/>
  <c r="K30" i="4"/>
  <c r="N30" i="4" s="1"/>
  <c r="O20" i="4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P20" i="4" s="1"/>
  <c r="I44" i="4"/>
  <c r="L44" i="4" s="1"/>
  <c r="L8" i="4"/>
  <c r="N12" i="4"/>
  <c r="N24" i="4"/>
  <c r="O12" i="4"/>
  <c r="X12" i="4" s="1"/>
  <c r="O31" i="4"/>
  <c r="X31" i="4" s="1"/>
  <c r="N31" i="4"/>
  <c r="M31" i="4"/>
  <c r="N15" i="4"/>
  <c r="K53" i="4"/>
  <c r="M53" i="4" s="1"/>
  <c r="N20" i="4"/>
  <c r="K14" i="4"/>
  <c r="M14" i="4" s="1"/>
  <c r="M21" i="4"/>
  <c r="L18" i="4"/>
  <c r="O21" i="4"/>
  <c r="X21" i="4" s="1"/>
  <c r="L22" i="4"/>
  <c r="M29" i="4"/>
  <c r="L51" i="4"/>
  <c r="L31" i="4"/>
  <c r="K19" i="4"/>
  <c r="N19" i="4" s="1"/>
  <c r="O29" i="4"/>
  <c r="X29" i="4" s="1"/>
  <c r="O27" i="4"/>
  <c r="X27" i="4" s="1"/>
  <c r="N27" i="4"/>
  <c r="L27" i="4"/>
  <c r="L13" i="4"/>
  <c r="L26" i="4"/>
  <c r="K26" i="4"/>
  <c r="I43" i="4"/>
  <c r="K43" i="4" s="1"/>
  <c r="I49" i="4"/>
  <c r="R49" i="4" s="1"/>
  <c r="N51" i="4"/>
  <c r="I48" i="4"/>
  <c r="R48" i="4" s="1"/>
  <c r="O25" i="4"/>
  <c r="X25" i="4" s="1"/>
  <c r="M25" i="4"/>
  <c r="O15" i="4"/>
  <c r="X15" i="4" s="1"/>
  <c r="M15" i="4"/>
  <c r="N25" i="4"/>
  <c r="O18" i="4"/>
  <c r="X18" i="4" s="1"/>
  <c r="M18" i="4"/>
  <c r="R41" i="4"/>
  <c r="L41" i="4"/>
  <c r="K41" i="4"/>
  <c r="M41" i="4" s="1"/>
  <c r="O28" i="4"/>
  <c r="X28" i="4" s="1"/>
  <c r="M28" i="4"/>
  <c r="L56" i="4"/>
  <c r="K56" i="4"/>
  <c r="M56" i="4" s="1"/>
  <c r="R56" i="4"/>
  <c r="O32" i="4"/>
  <c r="X32" i="4" s="1"/>
  <c r="M32" i="4"/>
  <c r="O8" i="4"/>
  <c r="X8" i="4" s="1"/>
  <c r="M8" i="4"/>
  <c r="O23" i="4"/>
  <c r="X23" i="4" s="1"/>
  <c r="M23" i="4"/>
  <c r="L9" i="4"/>
  <c r="C12" i="1" s="1"/>
  <c r="K9" i="4"/>
  <c r="R9" i="4"/>
  <c r="I50" i="4"/>
  <c r="K47" i="4"/>
  <c r="M47" i="4" s="1"/>
  <c r="L47" i="4"/>
  <c r="R47" i="4"/>
  <c r="L46" i="4"/>
  <c r="K46" i="4"/>
  <c r="R46" i="4"/>
  <c r="N8" i="4"/>
  <c r="R45" i="4"/>
  <c r="L45" i="4"/>
  <c r="K45" i="4"/>
  <c r="N18" i="4"/>
  <c r="I42" i="4"/>
  <c r="O13" i="4"/>
  <c r="X13" i="4" s="1"/>
  <c r="M13" i="4"/>
  <c r="O17" i="4"/>
  <c r="X17" i="4" s="1"/>
  <c r="M17" i="4"/>
  <c r="L52" i="4"/>
  <c r="K52" i="4"/>
  <c r="R52" i="4"/>
  <c r="M52" i="4"/>
  <c r="O24" i="4"/>
  <c r="X24" i="4" s="1"/>
  <c r="M24" i="4"/>
  <c r="N16" i="4"/>
  <c r="L54" i="4"/>
  <c r="K54" i="4"/>
  <c r="R54" i="4"/>
  <c r="K55" i="4"/>
  <c r="M55" i="4" s="1"/>
  <c r="R55" i="4"/>
  <c r="L55" i="4"/>
  <c r="N17" i="4"/>
  <c r="O22" i="4"/>
  <c r="X22" i="4" s="1"/>
  <c r="M22" i="4"/>
  <c r="K39" i="4"/>
  <c r="M39" i="4" s="1"/>
  <c r="R39" i="4"/>
  <c r="L39" i="4"/>
  <c r="L40" i="4"/>
  <c r="K40" i="4"/>
  <c r="M40" i="4" s="1"/>
  <c r="R40" i="4"/>
  <c r="O51" i="4"/>
  <c r="X51" i="4" s="1"/>
  <c r="M9" i="4" l="1"/>
  <c r="C40" i="1"/>
  <c r="M30" i="4"/>
  <c r="M16" i="4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P16" i="4" s="1"/>
  <c r="Y12" i="4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P12" i="4" s="1"/>
  <c r="W12" i="4" s="1"/>
  <c r="O30" i="4"/>
  <c r="X30" i="4" s="1"/>
  <c r="R44" i="4"/>
  <c r="K44" i="4"/>
  <c r="M44" i="4" s="1"/>
  <c r="Y21" i="4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P21" i="4" s="1"/>
  <c r="W21" i="4" s="1"/>
  <c r="O14" i="4"/>
  <c r="X14" i="4" s="1"/>
  <c r="N53" i="4"/>
  <c r="N14" i="4"/>
  <c r="O53" i="4"/>
  <c r="X53" i="4" s="1"/>
  <c r="Y27" i="4"/>
  <c r="Z27" i="4" s="1"/>
  <c r="AA27" i="4" s="1"/>
  <c r="AB27" i="4" s="1"/>
  <c r="AC27" i="4" s="1"/>
  <c r="AD27" i="4" s="1"/>
  <c r="AE27" i="4" s="1"/>
  <c r="AF27" i="4" s="1"/>
  <c r="AG27" i="4" s="1"/>
  <c r="AH27" i="4" s="1"/>
  <c r="AI27" i="4" s="1"/>
  <c r="AJ27" i="4" s="1"/>
  <c r="AK27" i="4" s="1"/>
  <c r="AL27" i="4" s="1"/>
  <c r="AM27" i="4" s="1"/>
  <c r="AN27" i="4" s="1"/>
  <c r="AO27" i="4" s="1"/>
  <c r="AP27" i="4" s="1"/>
  <c r="AQ27" i="4" s="1"/>
  <c r="AR27" i="4" s="1"/>
  <c r="AS27" i="4" s="1"/>
  <c r="AT27" i="4" s="1"/>
  <c r="AU27" i="4" s="1"/>
  <c r="P27" i="4" s="1"/>
  <c r="W27" i="4" s="1"/>
  <c r="Y31" i="4"/>
  <c r="Z31" i="4" s="1"/>
  <c r="AA31" i="4" s="1"/>
  <c r="AB31" i="4" s="1"/>
  <c r="AC31" i="4" s="1"/>
  <c r="AD31" i="4" s="1"/>
  <c r="AE31" i="4" s="1"/>
  <c r="AF31" i="4" s="1"/>
  <c r="AG31" i="4" s="1"/>
  <c r="AH31" i="4" s="1"/>
  <c r="AI31" i="4" s="1"/>
  <c r="AJ31" i="4" s="1"/>
  <c r="AK31" i="4" s="1"/>
  <c r="AL31" i="4" s="1"/>
  <c r="AM31" i="4" s="1"/>
  <c r="AN31" i="4" s="1"/>
  <c r="AO31" i="4" s="1"/>
  <c r="AP31" i="4" s="1"/>
  <c r="AQ31" i="4" s="1"/>
  <c r="AR31" i="4" s="1"/>
  <c r="AS31" i="4" s="1"/>
  <c r="AT31" i="4" s="1"/>
  <c r="AU31" i="4" s="1"/>
  <c r="P31" i="4" s="1"/>
  <c r="Q31" i="4" s="1"/>
  <c r="S31" i="4" s="1"/>
  <c r="T31" i="4" s="1"/>
  <c r="Y29" i="4"/>
  <c r="Z29" i="4" s="1"/>
  <c r="AA29" i="4" s="1"/>
  <c r="AB29" i="4" s="1"/>
  <c r="AC29" i="4" s="1"/>
  <c r="AD29" i="4" s="1"/>
  <c r="AE29" i="4" s="1"/>
  <c r="AF29" i="4" s="1"/>
  <c r="AG29" i="4" s="1"/>
  <c r="AH29" i="4" s="1"/>
  <c r="AI29" i="4" s="1"/>
  <c r="AJ29" i="4" s="1"/>
  <c r="AK29" i="4" s="1"/>
  <c r="AL29" i="4" s="1"/>
  <c r="AM29" i="4" s="1"/>
  <c r="AN29" i="4" s="1"/>
  <c r="AO29" i="4" s="1"/>
  <c r="AP29" i="4" s="1"/>
  <c r="AQ29" i="4" s="1"/>
  <c r="AR29" i="4" s="1"/>
  <c r="AS29" i="4" s="1"/>
  <c r="AT29" i="4" s="1"/>
  <c r="AU29" i="4" s="1"/>
  <c r="P29" i="4" s="1"/>
  <c r="W29" i="4" s="1"/>
  <c r="M19" i="4"/>
  <c r="O19" i="4"/>
  <c r="X19" i="4" s="1"/>
  <c r="R43" i="4"/>
  <c r="L43" i="4"/>
  <c r="Y51" i="4"/>
  <c r="Z51" i="4" s="1"/>
  <c r="AA51" i="4" s="1"/>
  <c r="AB51" i="4" s="1"/>
  <c r="AC51" i="4" s="1"/>
  <c r="AD51" i="4" s="1"/>
  <c r="AE51" i="4" s="1"/>
  <c r="AF51" i="4" s="1"/>
  <c r="AG51" i="4" s="1"/>
  <c r="AH51" i="4" s="1"/>
  <c r="AI51" i="4" s="1"/>
  <c r="AJ51" i="4" s="1"/>
  <c r="AK51" i="4" s="1"/>
  <c r="AL51" i="4" s="1"/>
  <c r="AM51" i="4" s="1"/>
  <c r="AN51" i="4" s="1"/>
  <c r="AO51" i="4" s="1"/>
  <c r="AP51" i="4" s="1"/>
  <c r="AQ51" i="4" s="1"/>
  <c r="AR51" i="4" s="1"/>
  <c r="AS51" i="4" s="1"/>
  <c r="AT51" i="4" s="1"/>
  <c r="AU51" i="4" s="1"/>
  <c r="P51" i="4" s="1"/>
  <c r="W51" i="4" s="1"/>
  <c r="K49" i="4"/>
  <c r="O49" i="4" s="1"/>
  <c r="X49" i="4" s="1"/>
  <c r="L49" i="4"/>
  <c r="Y13" i="4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P13" i="4" s="1"/>
  <c r="W13" i="4" s="1"/>
  <c r="O26" i="4"/>
  <c r="X26" i="4" s="1"/>
  <c r="M26" i="4"/>
  <c r="N26" i="4"/>
  <c r="Y32" i="4"/>
  <c r="Z32" i="4" s="1"/>
  <c r="AA32" i="4" s="1"/>
  <c r="AB32" i="4" s="1"/>
  <c r="AC32" i="4" s="1"/>
  <c r="AD32" i="4" s="1"/>
  <c r="AE32" i="4" s="1"/>
  <c r="AF32" i="4" s="1"/>
  <c r="AG32" i="4" s="1"/>
  <c r="AH32" i="4" s="1"/>
  <c r="AI32" i="4" s="1"/>
  <c r="AJ32" i="4" s="1"/>
  <c r="AK32" i="4" s="1"/>
  <c r="AL32" i="4" s="1"/>
  <c r="AM32" i="4" s="1"/>
  <c r="AN32" i="4" s="1"/>
  <c r="AO32" i="4" s="1"/>
  <c r="AP32" i="4" s="1"/>
  <c r="AQ32" i="4" s="1"/>
  <c r="AR32" i="4" s="1"/>
  <c r="AS32" i="4" s="1"/>
  <c r="AT32" i="4" s="1"/>
  <c r="AU32" i="4" s="1"/>
  <c r="P32" i="4" s="1"/>
  <c r="W32" i="4" s="1"/>
  <c r="L48" i="4"/>
  <c r="K48" i="4"/>
  <c r="M48" i="4" s="1"/>
  <c r="Y28" i="4"/>
  <c r="Z28" i="4" s="1"/>
  <c r="AA28" i="4" s="1"/>
  <c r="AB28" i="4" s="1"/>
  <c r="AC28" i="4" s="1"/>
  <c r="AD28" i="4" s="1"/>
  <c r="AE28" i="4" s="1"/>
  <c r="AF28" i="4" s="1"/>
  <c r="AG28" i="4" s="1"/>
  <c r="AH28" i="4" s="1"/>
  <c r="AI28" i="4" s="1"/>
  <c r="AJ28" i="4" s="1"/>
  <c r="AK28" i="4" s="1"/>
  <c r="AL28" i="4" s="1"/>
  <c r="AM28" i="4" s="1"/>
  <c r="AN28" i="4" s="1"/>
  <c r="AO28" i="4" s="1"/>
  <c r="AP28" i="4" s="1"/>
  <c r="AQ28" i="4" s="1"/>
  <c r="AR28" i="4" s="1"/>
  <c r="AS28" i="4" s="1"/>
  <c r="AT28" i="4" s="1"/>
  <c r="AU28" i="4" s="1"/>
  <c r="P28" i="4" s="1"/>
  <c r="W28" i="4" s="1"/>
  <c r="Y23" i="4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P23" i="4" s="1"/>
  <c r="W23" i="4" s="1"/>
  <c r="L50" i="4"/>
  <c r="K50" i="4"/>
  <c r="M50" i="4" s="1"/>
  <c r="R50" i="4"/>
  <c r="O56" i="4"/>
  <c r="X56" i="4" s="1"/>
  <c r="N56" i="4"/>
  <c r="L42" i="4"/>
  <c r="K42" i="4"/>
  <c r="M42" i="4" s="1"/>
  <c r="R42" i="4"/>
  <c r="W20" i="4"/>
  <c r="Q20" i="4"/>
  <c r="S20" i="4" s="1"/>
  <c r="T20" i="4" s="1"/>
  <c r="Y24" i="4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P24" i="4" s="1"/>
  <c r="Y18" i="4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P18" i="4" s="1"/>
  <c r="O43" i="4"/>
  <c r="X43" i="4" s="1"/>
  <c r="N43" i="4"/>
  <c r="O45" i="4"/>
  <c r="X45" i="4" s="1"/>
  <c r="N45" i="4"/>
  <c r="O52" i="4"/>
  <c r="X52" i="4" s="1"/>
  <c r="N52" i="4"/>
  <c r="O46" i="4"/>
  <c r="X46" i="4" s="1"/>
  <c r="N46" i="4"/>
  <c r="M46" i="4"/>
  <c r="O41" i="4"/>
  <c r="X41" i="4" s="1"/>
  <c r="N41" i="4"/>
  <c r="Y15" i="4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P15" i="4" s="1"/>
  <c r="O54" i="4"/>
  <c r="X54" i="4" s="1"/>
  <c r="N54" i="4"/>
  <c r="C11" i="1"/>
  <c r="C10" i="1"/>
  <c r="O9" i="4"/>
  <c r="X9" i="4" s="1"/>
  <c r="N9" i="4"/>
  <c r="Y22" i="4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P22" i="4" s="1"/>
  <c r="O40" i="4"/>
  <c r="X40" i="4" s="1"/>
  <c r="N40" i="4"/>
  <c r="Y8" i="4"/>
  <c r="Z8" i="4" s="1"/>
  <c r="AA8" i="4" s="1"/>
  <c r="AB8" i="4" s="1"/>
  <c r="AC8" i="4" s="1"/>
  <c r="AD8" i="4" s="1"/>
  <c r="AE8" i="4" s="1"/>
  <c r="AF8" i="4" s="1"/>
  <c r="AG8" i="4" s="1"/>
  <c r="AH8" i="4" s="1"/>
  <c r="AI8" i="4" s="1"/>
  <c r="AJ8" i="4" s="1"/>
  <c r="AK8" i="4" s="1"/>
  <c r="AL8" i="4" s="1"/>
  <c r="AM8" i="4" s="1"/>
  <c r="AN8" i="4" s="1"/>
  <c r="AO8" i="4" s="1"/>
  <c r="AP8" i="4" s="1"/>
  <c r="AQ8" i="4" s="1"/>
  <c r="AR8" i="4" s="1"/>
  <c r="AS8" i="4" s="1"/>
  <c r="AT8" i="4" s="1"/>
  <c r="AU8" i="4" s="1"/>
  <c r="P8" i="4" s="1"/>
  <c r="M45" i="4"/>
  <c r="O55" i="4"/>
  <c r="X55" i="4" s="1"/>
  <c r="N55" i="4"/>
  <c r="Y17" i="4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P17" i="4" s="1"/>
  <c r="M43" i="4"/>
  <c r="Y25" i="4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P25" i="4" s="1"/>
  <c r="O39" i="4"/>
  <c r="X39" i="4" s="1"/>
  <c r="N39" i="4"/>
  <c r="O47" i="4"/>
  <c r="X47" i="4" s="1"/>
  <c r="N47" i="4"/>
  <c r="M54" i="4"/>
  <c r="Y53" i="4" l="1"/>
  <c r="Z53" i="4" s="1"/>
  <c r="AA53" i="4" s="1"/>
  <c r="AB53" i="4" s="1"/>
  <c r="AC53" i="4" s="1"/>
  <c r="AD53" i="4" s="1"/>
  <c r="AE53" i="4" s="1"/>
  <c r="AF53" i="4" s="1"/>
  <c r="AG53" i="4" s="1"/>
  <c r="AH53" i="4" s="1"/>
  <c r="AI53" i="4" s="1"/>
  <c r="AJ53" i="4" s="1"/>
  <c r="AK53" i="4" s="1"/>
  <c r="AL53" i="4" s="1"/>
  <c r="AM53" i="4" s="1"/>
  <c r="AN53" i="4" s="1"/>
  <c r="AO53" i="4" s="1"/>
  <c r="AP53" i="4" s="1"/>
  <c r="AQ53" i="4" s="1"/>
  <c r="AR53" i="4" s="1"/>
  <c r="AS53" i="4" s="1"/>
  <c r="AT53" i="4" s="1"/>
  <c r="AU53" i="4" s="1"/>
  <c r="P53" i="4" s="1"/>
  <c r="W53" i="4" s="1"/>
  <c r="N44" i="4"/>
  <c r="O44" i="4"/>
  <c r="X44" i="4" s="1"/>
  <c r="Y44" i="4" s="1"/>
  <c r="Z44" i="4" s="1"/>
  <c r="AA44" i="4" s="1"/>
  <c r="AB44" i="4" s="1"/>
  <c r="AC44" i="4" s="1"/>
  <c r="AD44" i="4" s="1"/>
  <c r="AE44" i="4" s="1"/>
  <c r="AF44" i="4" s="1"/>
  <c r="AG44" i="4" s="1"/>
  <c r="AH44" i="4" s="1"/>
  <c r="AI44" i="4" s="1"/>
  <c r="AJ44" i="4" s="1"/>
  <c r="AK44" i="4" s="1"/>
  <c r="AL44" i="4" s="1"/>
  <c r="AM44" i="4" s="1"/>
  <c r="AN44" i="4" s="1"/>
  <c r="AO44" i="4" s="1"/>
  <c r="AP44" i="4" s="1"/>
  <c r="AQ44" i="4" s="1"/>
  <c r="AR44" i="4" s="1"/>
  <c r="AS44" i="4" s="1"/>
  <c r="AT44" i="4" s="1"/>
  <c r="AU44" i="4" s="1"/>
  <c r="P44" i="4" s="1"/>
  <c r="Y19" i="4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P19" i="4" s="1"/>
  <c r="W19" i="4" s="1"/>
  <c r="Y30" i="4"/>
  <c r="Z30" i="4" s="1"/>
  <c r="AA30" i="4" s="1"/>
  <c r="AB30" i="4" s="1"/>
  <c r="AC30" i="4" s="1"/>
  <c r="AD30" i="4" s="1"/>
  <c r="AE30" i="4" s="1"/>
  <c r="AF30" i="4" s="1"/>
  <c r="AG30" i="4" s="1"/>
  <c r="AH30" i="4" s="1"/>
  <c r="AI30" i="4" s="1"/>
  <c r="AJ30" i="4" s="1"/>
  <c r="AK30" i="4" s="1"/>
  <c r="AL30" i="4" s="1"/>
  <c r="AM30" i="4" s="1"/>
  <c r="AN30" i="4" s="1"/>
  <c r="AO30" i="4" s="1"/>
  <c r="AP30" i="4" s="1"/>
  <c r="AQ30" i="4" s="1"/>
  <c r="AR30" i="4" s="1"/>
  <c r="AS30" i="4" s="1"/>
  <c r="AT30" i="4" s="1"/>
  <c r="AU30" i="4" s="1"/>
  <c r="P30" i="4" s="1"/>
  <c r="W30" i="4" s="1"/>
  <c r="Q21" i="4"/>
  <c r="S21" i="4" s="1"/>
  <c r="T21" i="4" s="1"/>
  <c r="V21" i="4" s="1"/>
  <c r="Q12" i="4"/>
  <c r="S12" i="4" s="1"/>
  <c r="T12" i="4" s="1"/>
  <c r="U12" i="4" s="1"/>
  <c r="N49" i="4"/>
  <c r="Y14" i="4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P14" i="4" s="1"/>
  <c r="W14" i="4" s="1"/>
  <c r="M49" i="4"/>
  <c r="Q29" i="4"/>
  <c r="S29" i="4" s="1"/>
  <c r="T29" i="4" s="1"/>
  <c r="V29" i="4" s="1"/>
  <c r="W31" i="4"/>
  <c r="Q27" i="4"/>
  <c r="S27" i="4" s="1"/>
  <c r="T27" i="4" s="1"/>
  <c r="V27" i="4" s="1"/>
  <c r="Q51" i="4"/>
  <c r="S51" i="4" s="1"/>
  <c r="T51" i="4" s="1"/>
  <c r="U51" i="4" s="1"/>
  <c r="Y26" i="4"/>
  <c r="Z26" i="4" s="1"/>
  <c r="AA26" i="4" s="1"/>
  <c r="AB26" i="4" s="1"/>
  <c r="AC26" i="4" s="1"/>
  <c r="AD26" i="4" s="1"/>
  <c r="AE26" i="4" s="1"/>
  <c r="AF26" i="4" s="1"/>
  <c r="AG26" i="4" s="1"/>
  <c r="AH26" i="4" s="1"/>
  <c r="AI26" i="4" s="1"/>
  <c r="AJ26" i="4" s="1"/>
  <c r="AK26" i="4" s="1"/>
  <c r="AL26" i="4" s="1"/>
  <c r="AM26" i="4" s="1"/>
  <c r="AN26" i="4" s="1"/>
  <c r="AO26" i="4" s="1"/>
  <c r="AP26" i="4" s="1"/>
  <c r="AQ26" i="4" s="1"/>
  <c r="AR26" i="4" s="1"/>
  <c r="AS26" i="4" s="1"/>
  <c r="AT26" i="4" s="1"/>
  <c r="AU26" i="4" s="1"/>
  <c r="P26" i="4" s="1"/>
  <c r="W26" i="4" s="1"/>
  <c r="N48" i="4"/>
  <c r="O48" i="4"/>
  <c r="X48" i="4" s="1"/>
  <c r="Q23" i="4"/>
  <c r="S23" i="4" s="1"/>
  <c r="T23" i="4" s="1"/>
  <c r="V23" i="4" s="1"/>
  <c r="Q32" i="4"/>
  <c r="S32" i="4" s="1"/>
  <c r="T32" i="4" s="1"/>
  <c r="U32" i="4" s="1"/>
  <c r="Y52" i="4"/>
  <c r="Z52" i="4" s="1"/>
  <c r="AA52" i="4" s="1"/>
  <c r="AB52" i="4" s="1"/>
  <c r="AC52" i="4" s="1"/>
  <c r="AD52" i="4" s="1"/>
  <c r="AE52" i="4" s="1"/>
  <c r="AF52" i="4" s="1"/>
  <c r="AG52" i="4" s="1"/>
  <c r="AH52" i="4" s="1"/>
  <c r="AI52" i="4" s="1"/>
  <c r="AJ52" i="4" s="1"/>
  <c r="AK52" i="4" s="1"/>
  <c r="AL52" i="4" s="1"/>
  <c r="AM52" i="4" s="1"/>
  <c r="AN52" i="4" s="1"/>
  <c r="AO52" i="4" s="1"/>
  <c r="AP52" i="4" s="1"/>
  <c r="AQ52" i="4" s="1"/>
  <c r="AR52" i="4" s="1"/>
  <c r="AS52" i="4" s="1"/>
  <c r="AT52" i="4" s="1"/>
  <c r="AU52" i="4" s="1"/>
  <c r="P52" i="4" s="1"/>
  <c r="W52" i="4" s="1"/>
  <c r="Q13" i="4"/>
  <c r="S13" i="4" s="1"/>
  <c r="T13" i="4" s="1"/>
  <c r="V13" i="4" s="1"/>
  <c r="Y56" i="4"/>
  <c r="Z56" i="4" s="1"/>
  <c r="AA56" i="4" s="1"/>
  <c r="AB56" i="4" s="1"/>
  <c r="AC56" i="4" s="1"/>
  <c r="AD56" i="4" s="1"/>
  <c r="AE56" i="4" s="1"/>
  <c r="AF56" i="4" s="1"/>
  <c r="AG56" i="4" s="1"/>
  <c r="AH56" i="4" s="1"/>
  <c r="AI56" i="4" s="1"/>
  <c r="AJ56" i="4" s="1"/>
  <c r="AK56" i="4" s="1"/>
  <c r="AL56" i="4" s="1"/>
  <c r="AM56" i="4" s="1"/>
  <c r="AN56" i="4" s="1"/>
  <c r="AO56" i="4" s="1"/>
  <c r="AP56" i="4" s="1"/>
  <c r="AQ56" i="4" s="1"/>
  <c r="AR56" i="4" s="1"/>
  <c r="AS56" i="4" s="1"/>
  <c r="AT56" i="4" s="1"/>
  <c r="AU56" i="4" s="1"/>
  <c r="P56" i="4" s="1"/>
  <c r="W56" i="4" s="1"/>
  <c r="Q28" i="4"/>
  <c r="S28" i="4" s="1"/>
  <c r="T28" i="4" s="1"/>
  <c r="U28" i="4" s="1"/>
  <c r="Y55" i="4"/>
  <c r="Z55" i="4" s="1"/>
  <c r="AA55" i="4" s="1"/>
  <c r="AB55" i="4" s="1"/>
  <c r="AC55" i="4" s="1"/>
  <c r="AD55" i="4" s="1"/>
  <c r="AE55" i="4" s="1"/>
  <c r="AF55" i="4" s="1"/>
  <c r="AG55" i="4" s="1"/>
  <c r="AH55" i="4" s="1"/>
  <c r="AI55" i="4" s="1"/>
  <c r="AJ55" i="4" s="1"/>
  <c r="AK55" i="4" s="1"/>
  <c r="AL55" i="4" s="1"/>
  <c r="AM55" i="4" s="1"/>
  <c r="AN55" i="4" s="1"/>
  <c r="AO55" i="4" s="1"/>
  <c r="AP55" i="4" s="1"/>
  <c r="AQ55" i="4" s="1"/>
  <c r="AR55" i="4" s="1"/>
  <c r="AS55" i="4" s="1"/>
  <c r="AT55" i="4" s="1"/>
  <c r="AU55" i="4" s="1"/>
  <c r="P55" i="4" s="1"/>
  <c r="W55" i="4" s="1"/>
  <c r="Y40" i="4"/>
  <c r="Z40" i="4" s="1"/>
  <c r="AA40" i="4" s="1"/>
  <c r="AB40" i="4" s="1"/>
  <c r="AC40" i="4" s="1"/>
  <c r="AD40" i="4" s="1"/>
  <c r="AE40" i="4" s="1"/>
  <c r="AF40" i="4" s="1"/>
  <c r="AG40" i="4" s="1"/>
  <c r="AH40" i="4" s="1"/>
  <c r="AI40" i="4" s="1"/>
  <c r="AJ40" i="4" s="1"/>
  <c r="AK40" i="4" s="1"/>
  <c r="AL40" i="4" s="1"/>
  <c r="AM40" i="4" s="1"/>
  <c r="AN40" i="4" s="1"/>
  <c r="AO40" i="4" s="1"/>
  <c r="AP40" i="4" s="1"/>
  <c r="AQ40" i="4" s="1"/>
  <c r="AR40" i="4" s="1"/>
  <c r="AS40" i="4" s="1"/>
  <c r="AT40" i="4" s="1"/>
  <c r="AU40" i="4" s="1"/>
  <c r="P40" i="4" s="1"/>
  <c r="O42" i="4"/>
  <c r="X42" i="4" s="1"/>
  <c r="N42" i="4"/>
  <c r="Y45" i="4"/>
  <c r="Z45" i="4" s="1"/>
  <c r="AA45" i="4" s="1"/>
  <c r="AB45" i="4" s="1"/>
  <c r="AC45" i="4" s="1"/>
  <c r="AD45" i="4" s="1"/>
  <c r="AE45" i="4" s="1"/>
  <c r="AF45" i="4" s="1"/>
  <c r="AG45" i="4" s="1"/>
  <c r="AH45" i="4" s="1"/>
  <c r="AI45" i="4" s="1"/>
  <c r="AJ45" i="4" s="1"/>
  <c r="AK45" i="4" s="1"/>
  <c r="AL45" i="4" s="1"/>
  <c r="AM45" i="4" s="1"/>
  <c r="AN45" i="4" s="1"/>
  <c r="AO45" i="4" s="1"/>
  <c r="AP45" i="4" s="1"/>
  <c r="AQ45" i="4" s="1"/>
  <c r="AR45" i="4" s="1"/>
  <c r="AS45" i="4" s="1"/>
  <c r="AT45" i="4" s="1"/>
  <c r="AU45" i="4" s="1"/>
  <c r="P45" i="4" s="1"/>
  <c r="W25" i="4"/>
  <c r="Q25" i="4"/>
  <c r="S25" i="4" s="1"/>
  <c r="T25" i="4" s="1"/>
  <c r="W15" i="4"/>
  <c r="Q15" i="4"/>
  <c r="S15" i="4" s="1"/>
  <c r="T15" i="4" s="1"/>
  <c r="Y41" i="4"/>
  <c r="Z41" i="4" s="1"/>
  <c r="AA41" i="4" s="1"/>
  <c r="AB41" i="4" s="1"/>
  <c r="AC41" i="4" s="1"/>
  <c r="AD41" i="4" s="1"/>
  <c r="AE41" i="4" s="1"/>
  <c r="AF41" i="4" s="1"/>
  <c r="AG41" i="4" s="1"/>
  <c r="AH41" i="4" s="1"/>
  <c r="AI41" i="4" s="1"/>
  <c r="AJ41" i="4" s="1"/>
  <c r="AK41" i="4" s="1"/>
  <c r="AL41" i="4" s="1"/>
  <c r="AM41" i="4" s="1"/>
  <c r="AN41" i="4" s="1"/>
  <c r="AO41" i="4" s="1"/>
  <c r="AP41" i="4" s="1"/>
  <c r="AQ41" i="4" s="1"/>
  <c r="AR41" i="4" s="1"/>
  <c r="AS41" i="4" s="1"/>
  <c r="AT41" i="4" s="1"/>
  <c r="AU41" i="4" s="1"/>
  <c r="P41" i="4" s="1"/>
  <c r="W22" i="4"/>
  <c r="Q22" i="4"/>
  <c r="S22" i="4" s="1"/>
  <c r="T22" i="4" s="1"/>
  <c r="U31" i="4"/>
  <c r="V31" i="4"/>
  <c r="Y9" i="4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P9" i="4" s="1"/>
  <c r="W17" i="4"/>
  <c r="Q17" i="4"/>
  <c r="S17" i="4" s="1"/>
  <c r="T17" i="4" s="1"/>
  <c r="Y43" i="4"/>
  <c r="Z43" i="4" s="1"/>
  <c r="AA43" i="4" s="1"/>
  <c r="AB43" i="4" s="1"/>
  <c r="AC43" i="4" s="1"/>
  <c r="AD43" i="4" s="1"/>
  <c r="AE43" i="4" s="1"/>
  <c r="AF43" i="4" s="1"/>
  <c r="AG43" i="4" s="1"/>
  <c r="AH43" i="4" s="1"/>
  <c r="AI43" i="4" s="1"/>
  <c r="AJ43" i="4" s="1"/>
  <c r="AK43" i="4" s="1"/>
  <c r="AL43" i="4" s="1"/>
  <c r="AM43" i="4" s="1"/>
  <c r="AN43" i="4" s="1"/>
  <c r="AO43" i="4" s="1"/>
  <c r="AP43" i="4" s="1"/>
  <c r="AQ43" i="4" s="1"/>
  <c r="AR43" i="4" s="1"/>
  <c r="AS43" i="4" s="1"/>
  <c r="AT43" i="4" s="1"/>
  <c r="AU43" i="4" s="1"/>
  <c r="P43" i="4" s="1"/>
  <c r="Y47" i="4"/>
  <c r="Z47" i="4" s="1"/>
  <c r="AA47" i="4" s="1"/>
  <c r="AB47" i="4" s="1"/>
  <c r="AC47" i="4" s="1"/>
  <c r="AD47" i="4" s="1"/>
  <c r="AE47" i="4" s="1"/>
  <c r="AF47" i="4" s="1"/>
  <c r="AG47" i="4" s="1"/>
  <c r="AH47" i="4" s="1"/>
  <c r="AI47" i="4" s="1"/>
  <c r="AJ47" i="4" s="1"/>
  <c r="AK47" i="4" s="1"/>
  <c r="AL47" i="4" s="1"/>
  <c r="AM47" i="4" s="1"/>
  <c r="AN47" i="4" s="1"/>
  <c r="AO47" i="4" s="1"/>
  <c r="AP47" i="4" s="1"/>
  <c r="AQ47" i="4" s="1"/>
  <c r="AR47" i="4" s="1"/>
  <c r="AS47" i="4" s="1"/>
  <c r="AT47" i="4" s="1"/>
  <c r="AU47" i="4" s="1"/>
  <c r="P47" i="4" s="1"/>
  <c r="W18" i="4"/>
  <c r="Q18" i="4"/>
  <c r="S18" i="4" s="1"/>
  <c r="T18" i="4" s="1"/>
  <c r="Y46" i="4"/>
  <c r="Z46" i="4" s="1"/>
  <c r="AA46" i="4" s="1"/>
  <c r="AB46" i="4" s="1"/>
  <c r="AC46" i="4" s="1"/>
  <c r="AD46" i="4" s="1"/>
  <c r="AE46" i="4" s="1"/>
  <c r="AF46" i="4" s="1"/>
  <c r="AG46" i="4" s="1"/>
  <c r="AH46" i="4" s="1"/>
  <c r="AI46" i="4" s="1"/>
  <c r="AJ46" i="4" s="1"/>
  <c r="AK46" i="4" s="1"/>
  <c r="AL46" i="4" s="1"/>
  <c r="AM46" i="4" s="1"/>
  <c r="AN46" i="4" s="1"/>
  <c r="AO46" i="4" s="1"/>
  <c r="AP46" i="4" s="1"/>
  <c r="AQ46" i="4" s="1"/>
  <c r="AR46" i="4" s="1"/>
  <c r="AS46" i="4" s="1"/>
  <c r="AT46" i="4" s="1"/>
  <c r="AU46" i="4" s="1"/>
  <c r="P46" i="4" s="1"/>
  <c r="Y39" i="4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AK39" i="4" s="1"/>
  <c r="AL39" i="4" s="1"/>
  <c r="AM39" i="4" s="1"/>
  <c r="AN39" i="4" s="1"/>
  <c r="AO39" i="4" s="1"/>
  <c r="AP39" i="4" s="1"/>
  <c r="AQ39" i="4" s="1"/>
  <c r="AR39" i="4" s="1"/>
  <c r="AS39" i="4" s="1"/>
  <c r="AT39" i="4" s="1"/>
  <c r="AU39" i="4" s="1"/>
  <c r="P39" i="4" s="1"/>
  <c r="W16" i="4"/>
  <c r="Q16" i="4"/>
  <c r="S16" i="4" s="1"/>
  <c r="T16" i="4" s="1"/>
  <c r="W24" i="4"/>
  <c r="Q24" i="4"/>
  <c r="S24" i="4" s="1"/>
  <c r="T24" i="4" s="1"/>
  <c r="Y54" i="4"/>
  <c r="Z54" i="4" s="1"/>
  <c r="AA54" i="4" s="1"/>
  <c r="AB54" i="4" s="1"/>
  <c r="AC54" i="4" s="1"/>
  <c r="AD54" i="4" s="1"/>
  <c r="AE54" i="4" s="1"/>
  <c r="AF54" i="4" s="1"/>
  <c r="AG54" i="4" s="1"/>
  <c r="AH54" i="4" s="1"/>
  <c r="AI54" i="4" s="1"/>
  <c r="AJ54" i="4" s="1"/>
  <c r="AK54" i="4" s="1"/>
  <c r="AL54" i="4" s="1"/>
  <c r="AM54" i="4" s="1"/>
  <c r="AN54" i="4" s="1"/>
  <c r="AO54" i="4" s="1"/>
  <c r="AP54" i="4" s="1"/>
  <c r="AQ54" i="4" s="1"/>
  <c r="AR54" i="4" s="1"/>
  <c r="AS54" i="4" s="1"/>
  <c r="AT54" i="4" s="1"/>
  <c r="AU54" i="4" s="1"/>
  <c r="P54" i="4" s="1"/>
  <c r="U20" i="4"/>
  <c r="V20" i="4"/>
  <c r="O50" i="4"/>
  <c r="X50" i="4" s="1"/>
  <c r="N50" i="4"/>
  <c r="W8" i="4"/>
  <c r="Q8" i="4"/>
  <c r="S8" i="4" s="1"/>
  <c r="T8" i="4" s="1"/>
  <c r="Q53" i="4" l="1"/>
  <c r="S53" i="4" s="1"/>
  <c r="T53" i="4" s="1"/>
  <c r="U53" i="4" s="1"/>
  <c r="Q19" i="4"/>
  <c r="S19" i="4" s="1"/>
  <c r="T19" i="4" s="1"/>
  <c r="U19" i="4" s="1"/>
  <c r="U21" i="4"/>
  <c r="Q30" i="4"/>
  <c r="S30" i="4" s="1"/>
  <c r="T30" i="4" s="1"/>
  <c r="V30" i="4" s="1"/>
  <c r="Y49" i="4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AK49" i="4" s="1"/>
  <c r="AL49" i="4" s="1"/>
  <c r="AM49" i="4" s="1"/>
  <c r="AN49" i="4" s="1"/>
  <c r="AO49" i="4" s="1"/>
  <c r="AP49" i="4" s="1"/>
  <c r="AQ49" i="4" s="1"/>
  <c r="AR49" i="4" s="1"/>
  <c r="AS49" i="4" s="1"/>
  <c r="AT49" i="4" s="1"/>
  <c r="AU49" i="4" s="1"/>
  <c r="P49" i="4" s="1"/>
  <c r="Q49" i="4" s="1"/>
  <c r="S49" i="4" s="1"/>
  <c r="T49" i="4" s="1"/>
  <c r="V12" i="4"/>
  <c r="Q14" i="4"/>
  <c r="S14" i="4" s="1"/>
  <c r="T14" i="4" s="1"/>
  <c r="U14" i="4" s="1"/>
  <c r="U29" i="4"/>
  <c r="V51" i="4"/>
  <c r="Y48" i="4"/>
  <c r="Z48" i="4" s="1"/>
  <c r="AA48" i="4" s="1"/>
  <c r="AB48" i="4" s="1"/>
  <c r="AC48" i="4" s="1"/>
  <c r="AD48" i="4" s="1"/>
  <c r="AE48" i="4" s="1"/>
  <c r="AF48" i="4" s="1"/>
  <c r="AG48" i="4" s="1"/>
  <c r="AH48" i="4" s="1"/>
  <c r="AI48" i="4" s="1"/>
  <c r="AJ48" i="4" s="1"/>
  <c r="AK48" i="4" s="1"/>
  <c r="AL48" i="4" s="1"/>
  <c r="AM48" i="4" s="1"/>
  <c r="AN48" i="4" s="1"/>
  <c r="AO48" i="4" s="1"/>
  <c r="AP48" i="4" s="1"/>
  <c r="AQ48" i="4" s="1"/>
  <c r="AR48" i="4" s="1"/>
  <c r="AS48" i="4" s="1"/>
  <c r="AT48" i="4" s="1"/>
  <c r="AU48" i="4" s="1"/>
  <c r="P48" i="4" s="1"/>
  <c r="W48" i="4" s="1"/>
  <c r="U27" i="4"/>
  <c r="U23" i="4"/>
  <c r="Q26" i="4"/>
  <c r="S26" i="4" s="1"/>
  <c r="T26" i="4" s="1"/>
  <c r="U26" i="4" s="1"/>
  <c r="Q52" i="4"/>
  <c r="S52" i="4" s="1"/>
  <c r="T52" i="4" s="1"/>
  <c r="U13" i="4"/>
  <c r="V28" i="4"/>
  <c r="V32" i="4"/>
  <c r="Q55" i="4"/>
  <c r="S55" i="4" s="1"/>
  <c r="T55" i="4" s="1"/>
  <c r="U55" i="4" s="1"/>
  <c r="Q56" i="4"/>
  <c r="S56" i="4" s="1"/>
  <c r="T56" i="4" s="1"/>
  <c r="U56" i="4" s="1"/>
  <c r="U25" i="4"/>
  <c r="V25" i="4"/>
  <c r="W43" i="4"/>
  <c r="Q43" i="4"/>
  <c r="S43" i="4" s="1"/>
  <c r="T43" i="4" s="1"/>
  <c r="W45" i="4"/>
  <c r="Q45" i="4"/>
  <c r="S45" i="4" s="1"/>
  <c r="T45" i="4" s="1"/>
  <c r="V17" i="4"/>
  <c r="U17" i="4"/>
  <c r="U16" i="4"/>
  <c r="V16" i="4"/>
  <c r="C14" i="1"/>
  <c r="U8" i="4"/>
  <c r="V8" i="4"/>
  <c r="Y50" i="4"/>
  <c r="Z50" i="4" s="1"/>
  <c r="AA50" i="4" s="1"/>
  <c r="AB50" i="4" s="1"/>
  <c r="AC50" i="4" s="1"/>
  <c r="AD50" i="4" s="1"/>
  <c r="AE50" i="4" s="1"/>
  <c r="AF50" i="4" s="1"/>
  <c r="AG50" i="4" s="1"/>
  <c r="AH50" i="4" s="1"/>
  <c r="AI50" i="4" s="1"/>
  <c r="AJ50" i="4" s="1"/>
  <c r="AK50" i="4" s="1"/>
  <c r="AL50" i="4" s="1"/>
  <c r="AM50" i="4" s="1"/>
  <c r="AN50" i="4" s="1"/>
  <c r="AO50" i="4" s="1"/>
  <c r="AP50" i="4" s="1"/>
  <c r="AQ50" i="4" s="1"/>
  <c r="AR50" i="4" s="1"/>
  <c r="AS50" i="4" s="1"/>
  <c r="AT50" i="4" s="1"/>
  <c r="AU50" i="4" s="1"/>
  <c r="P50" i="4" s="1"/>
  <c r="Y42" i="4"/>
  <c r="Z42" i="4" s="1"/>
  <c r="AA42" i="4" s="1"/>
  <c r="AB42" i="4" s="1"/>
  <c r="AC42" i="4" s="1"/>
  <c r="AD42" i="4" s="1"/>
  <c r="AE42" i="4" s="1"/>
  <c r="AF42" i="4" s="1"/>
  <c r="AG42" i="4" s="1"/>
  <c r="AH42" i="4" s="1"/>
  <c r="AI42" i="4" s="1"/>
  <c r="AJ42" i="4" s="1"/>
  <c r="AK42" i="4" s="1"/>
  <c r="AL42" i="4" s="1"/>
  <c r="AM42" i="4" s="1"/>
  <c r="AN42" i="4" s="1"/>
  <c r="AO42" i="4" s="1"/>
  <c r="AP42" i="4" s="1"/>
  <c r="AQ42" i="4" s="1"/>
  <c r="AR42" i="4" s="1"/>
  <c r="AS42" i="4" s="1"/>
  <c r="AT42" i="4" s="1"/>
  <c r="AU42" i="4" s="1"/>
  <c r="P42" i="4" s="1"/>
  <c r="W9" i="4"/>
  <c r="Q9" i="4"/>
  <c r="S9" i="4" s="1"/>
  <c r="T9" i="4" s="1"/>
  <c r="W40" i="4"/>
  <c r="Q40" i="4"/>
  <c r="S40" i="4" s="1"/>
  <c r="T40" i="4" s="1"/>
  <c r="W46" i="4"/>
  <c r="Q46" i="4"/>
  <c r="S46" i="4" s="1"/>
  <c r="T46" i="4" s="1"/>
  <c r="W54" i="4"/>
  <c r="Q54" i="4"/>
  <c r="S54" i="4" s="1"/>
  <c r="T54" i="4" s="1"/>
  <c r="U18" i="4"/>
  <c r="V18" i="4"/>
  <c r="U22" i="4"/>
  <c r="V22" i="4"/>
  <c r="W44" i="4"/>
  <c r="Q44" i="4"/>
  <c r="S44" i="4" s="1"/>
  <c r="T44" i="4" s="1"/>
  <c r="W39" i="4"/>
  <c r="Q39" i="4"/>
  <c r="S39" i="4" s="1"/>
  <c r="T39" i="4" s="1"/>
  <c r="U24" i="4"/>
  <c r="V24" i="4"/>
  <c r="W41" i="4"/>
  <c r="Q41" i="4"/>
  <c r="S41" i="4" s="1"/>
  <c r="T41" i="4" s="1"/>
  <c r="W47" i="4"/>
  <c r="Q47" i="4"/>
  <c r="S47" i="4" s="1"/>
  <c r="T47" i="4" s="1"/>
  <c r="U15" i="4"/>
  <c r="V15" i="4"/>
  <c r="U30" i="4" l="1"/>
  <c r="I13" i="3"/>
  <c r="J13" i="3" s="1"/>
  <c r="V53" i="4"/>
  <c r="V19" i="4"/>
  <c r="W49" i="4"/>
  <c r="K13" i="3"/>
  <c r="V52" i="4"/>
  <c r="U52" i="4"/>
  <c r="V14" i="4"/>
  <c r="Q48" i="4"/>
  <c r="S48" i="4" s="1"/>
  <c r="T48" i="4" s="1"/>
  <c r="U48" i="4" s="1"/>
  <c r="V26" i="4"/>
  <c r="V56" i="4"/>
  <c r="V55" i="4"/>
  <c r="U44" i="4"/>
  <c r="V44" i="4"/>
  <c r="U46" i="4"/>
  <c r="V46" i="4"/>
  <c r="U40" i="4"/>
  <c r="V40" i="4"/>
  <c r="U47" i="4"/>
  <c r="V47" i="4"/>
  <c r="C13" i="1"/>
  <c r="U9" i="4"/>
  <c r="V9" i="4"/>
  <c r="W42" i="4"/>
  <c r="Q42" i="4"/>
  <c r="S42" i="4" s="1"/>
  <c r="T42" i="4" s="1"/>
  <c r="U45" i="4"/>
  <c r="K11" i="3"/>
  <c r="I11" i="3"/>
  <c r="J11" i="3" s="1"/>
  <c r="V45" i="4"/>
  <c r="U39" i="4"/>
  <c r="K9" i="3"/>
  <c r="I9" i="3"/>
  <c r="J9" i="3" s="1"/>
  <c r="V39" i="4"/>
  <c r="W50" i="4"/>
  <c r="Q50" i="4"/>
  <c r="S50" i="4" s="1"/>
  <c r="T50" i="4" s="1"/>
  <c r="U43" i="4"/>
  <c r="V43" i="4"/>
  <c r="U54" i="4"/>
  <c r="I14" i="3"/>
  <c r="J14" i="3" s="1"/>
  <c r="K14" i="3"/>
  <c r="V54" i="4"/>
  <c r="U49" i="4"/>
  <c r="V49" i="4"/>
  <c r="U41" i="4"/>
  <c r="V41" i="4"/>
  <c r="V48" i="4" l="1"/>
  <c r="U50" i="4"/>
  <c r="V50" i="4"/>
  <c r="K12" i="3"/>
  <c r="I12" i="3"/>
  <c r="J12" i="3" s="1"/>
  <c r="U42" i="4"/>
  <c r="K10" i="3"/>
  <c r="I10" i="3"/>
  <c r="J10" i="3" s="1"/>
  <c r="V42" i="4"/>
  <c r="J16" i="3" l="1"/>
  <c r="C24" i="1" s="1"/>
  <c r="C25" i="1" s="1"/>
  <c r="C31" i="1" s="1"/>
  <c r="K16" i="3"/>
  <c r="C28" i="1" s="1"/>
  <c r="C19" i="3" l="1"/>
  <c r="I19" i="3"/>
  <c r="C29" i="1" l="1"/>
  <c r="C41" i="1"/>
</calcChain>
</file>

<file path=xl/sharedStrings.xml><?xml version="1.0" encoding="utf-8"?>
<sst xmlns="http://schemas.openxmlformats.org/spreadsheetml/2006/main" count="356" uniqueCount="308">
  <si>
    <t>Eurodrone sizing model</t>
  </si>
  <si>
    <t>Edit yellow cells on Inputs and Mission. Results and charts recalculate. Start with masses, battery, drag area and efficiencies.</t>
  </si>
  <si>
    <t>ESTIMATE: illustrative multirotor assumptions. Required performance is calculated; available propulsion capability needs test data.</t>
  </si>
  <si>
    <t>At target: steady level</t>
  </si>
  <si>
    <t>Estimate</t>
  </si>
  <si>
    <t>Unit</t>
  </si>
  <si>
    <t>All-up mass</t>
  </si>
  <si>
    <t>kg</t>
  </si>
  <si>
    <t>Airframe drag</t>
  </si>
  <si>
    <t>N</t>
  </si>
  <si>
    <t>Total thrust required</t>
  </si>
  <si>
    <t>Thrust required per rotor</t>
  </si>
  <si>
    <t>Required tilt from vertical</t>
  </si>
  <si>
    <t>degrees</t>
  </si>
  <si>
    <t>Electrical power required</t>
  </si>
  <si>
    <t>W</t>
  </si>
  <si>
    <t>Hover electrical power</t>
  </si>
  <si>
    <t>Target airspeed</t>
  </si>
  <si>
    <t>km/h</t>
  </si>
  <si>
    <t>TLR-01 target comparison</t>
  </si>
  <si>
    <t>Flight energy budget</t>
  </si>
  <si>
    <t>Nominal battery energy</t>
  </si>
  <si>
    <t>Wh</t>
  </si>
  <si>
    <t>Usable battery energy</t>
  </si>
  <si>
    <t>Reserved for recovery</t>
  </si>
  <si>
    <t>Available for nominal mission</t>
  </si>
  <si>
    <t>Nominal mission energy</t>
  </si>
  <si>
    <t>Remaining after mission + reserve</t>
  </si>
  <si>
    <t>Powered time</t>
  </si>
  <si>
    <t>seconds</t>
  </si>
  <si>
    <t>Airborne time</t>
  </si>
  <si>
    <t>Peak sampled electrical power</t>
  </si>
  <si>
    <t>Peak sampled pack current</t>
  </si>
  <si>
    <t>A</t>
  </si>
  <si>
    <t>Mission energy assessment</t>
  </si>
  <si>
    <t>Energy reserve and hold duration remain sizing assumptions.</t>
  </si>
  <si>
    <t>Positive energy margin does not establish flight feasibility.</t>
  </si>
  <si>
    <t>Capability comparison</t>
  </si>
  <si>
    <t>Headroom</t>
  </si>
  <si>
    <t>Interpretation</t>
  </si>
  <si>
    <t>Hover thrust headroom</t>
  </si>
  <si>
    <t>%</t>
  </si>
  <si>
    <t>Available / required − 1. Static thrust applies only to hover.</t>
  </si>
  <si>
    <t>Target-speed thrust headroom</t>
  </si>
  <si>
    <t>Requires thrust data at target airspeed and inflow angle.</t>
  </si>
  <si>
    <t>Pack current headroom</t>
  </si>
  <si>
    <t>Limit minus peak sampled demand. No short-duration current spikes modeled.</t>
  </si>
  <si>
    <t>ESC current headroom / rotor</t>
  </si>
  <si>
    <t>Equal rotor loading assumed. Real control corrections may load one rotor more.</t>
  </si>
  <si>
    <t>Power headroom / rotor</t>
  </si>
  <si>
    <t>Limit minus peak sampled electrical propulsion power per rotor.</t>
  </si>
  <si>
    <t>n.a. means no capability input. Enter supported limits in Inputs C44:C48. Negative headroom indicates an exceeded entered limit.</t>
  </si>
  <si>
    <t>Thrust headroom is not a demonstrated attitude-control margin. No maximum attainable speed is inferred from static thrust.</t>
  </si>
  <si>
    <t>MODEL LIMITS THAT MATTER</t>
  </si>
  <si>
    <t>Aerodynamics: fixed drag area across attitude; ideal rotor inflow with constant loss efficiencies. No blade pitch, RPM or tip-speed limit.</t>
  </si>
  <si>
    <t>Mission: takeoff/landing are hover proxies; braking uses steady-power samples with no regeneration. Peaks are sampled, not electrical transients.</t>
  </si>
  <si>
    <t>Battery: mass scales with nominal energy. Usable energy and loaded voltage are inputs; temperature, voltage drop and cutoff must be measured.</t>
  </si>
  <si>
    <t>Next evidence: component masses, drag at flight attitude, propulsion maps and loaded battery tests. Bench checks precede incremental flight tests.</t>
  </si>
  <si>
    <t>Aircraft inputs</t>
  </si>
  <si>
    <t>Yellow cells are editable. All populated design values are ASSUMPTION examples, not selected or measured hardware.</t>
  </si>
  <si>
    <t>Replace component masses first. Battery mass changes automatically with capacity and pack energy density.</t>
  </si>
  <si>
    <t>Component</t>
  </si>
  <si>
    <t>Quantity</t>
  </si>
  <si>
    <t>Each (g)</t>
  </si>
  <si>
    <t>Total (g)</t>
  </si>
  <si>
    <t>Input guidance</t>
  </si>
  <si>
    <t>Primary structure</t>
  </si>
  <si>
    <t>Custom structure allowance (TLR-02). No strength or stiffness analysis.</t>
  </si>
  <si>
    <t>Motors</t>
  </si>
  <si>
    <t>Quantity follows rotor count. Replace with selected motor mass.</t>
  </si>
  <si>
    <t>Motor controllers (ESCs)</t>
  </si>
  <si>
    <t>Mass per motor channel. Use a share of a combined ESC board if applicable.</t>
  </si>
  <si>
    <t>Propellers</t>
  </si>
  <si>
    <t>Quantity follows rotor count. Equal, non-overlapping rotors assumed.</t>
  </si>
  <si>
    <t>Flight controller + FPGA</t>
  </si>
  <si>
    <t>Includes FPGA provision required by TLR-06.</t>
  </si>
  <si>
    <t>Power distribution</t>
  </si>
  <si>
    <t>Custom PDU allowance (TLR-02).</t>
  </si>
  <si>
    <t>Wiring + connectors</t>
  </si>
  <si>
    <t>Custom harness allowance (TLR-02).</t>
  </si>
  <si>
    <t>FPV camera + video system</t>
  </si>
  <si>
    <t>Camera, video transmitter and its antennas (TLR-07).</t>
  </si>
  <si>
    <t>Pilot receiver + antennas</t>
  </si>
  <si>
    <t>Pilot link equipment (TLR-07).</t>
  </si>
  <si>
    <t>Mounts + fasteners</t>
  </si>
  <si>
    <t>Include battery restraint and electronics mounts.</t>
  </si>
  <si>
    <t>Other equipment</t>
  </si>
  <si>
    <t>Optional equipment. Zero is an intentional empty allowance.</t>
  </si>
  <si>
    <t>Unallocated mass</t>
  </si>
  <si>
    <t>Editable growth allowance. No prescribed design margin.</t>
  </si>
  <si>
    <t>Battery pack</t>
  </si>
  <si>
    <t>Calculated from nominal Wh / pack energy density. Include pack leads in energy density.</t>
  </si>
  <si>
    <t>TOTAL MASS</t>
  </si>
  <si>
    <t>AIRCRAFT AND ENVIRONMENT</t>
  </si>
  <si>
    <t>Rotor count</t>
  </si>
  <si>
    <t>rotors</t>
  </si>
  <si>
    <t>Equal rotors, coplanar and non-overlapping. Mass quantities above follow this value.</t>
  </si>
  <si>
    <t>Propeller diameter</t>
  </si>
  <si>
    <t>in</t>
  </si>
  <si>
    <t>Affects ideal disk loading. Update propeller/motor masses separately after a size change.</t>
  </si>
  <si>
    <t>Air density</t>
  </si>
  <si>
    <t>kg/m³</t>
  </si>
  <si>
    <t>ASSUMPTION: representative sea-level density. Enter local conditions when known.</t>
  </si>
  <si>
    <t>Drag coefficient, Cd</t>
  </si>
  <si>
    <t>dimensionless</t>
  </si>
  <si>
    <t>ASSUMPTION: placeholder. Use Cd consistent with the reference area below.</t>
  </si>
  <si>
    <t>Projected reference area</t>
  </si>
  <si>
    <t>m²</t>
  </si>
  <si>
    <t>0.008 m² = 80 cm². Area at flight attitude; CdA is held constant across speeds.</t>
  </si>
  <si>
    <t>Rotor aerodynamic efficiency</t>
  </si>
  <si>
    <t>fraction</t>
  </si>
  <si>
    <t>Ideal disk power / shaft power. Effective loss allowance, not conventional propulsive efficiency.</t>
  </si>
  <si>
    <t>Motor + ESC efficiency</t>
  </si>
  <si>
    <t>Shaft power / electrical propulsion power. Constant assumed value across the profile.</t>
  </si>
  <si>
    <t>Electronics power</t>
  </si>
  <si>
    <t>Battery-side demand for FC, FPGA, camera, radios and regulators. Present during startup too.</t>
  </si>
  <si>
    <t>TLR-01 design objective: at least 300 km/h. Editing this does not change the requirement.</t>
  </si>
  <si>
    <t>Speed-chart range / target</t>
  </si>
  <si>
    <t>multiple</t>
  </si>
  <si>
    <t>Chart sweeps from hover to this multiple of target speed. Demand only, not attainable speed.</t>
  </si>
  <si>
    <t>BATTERY</t>
  </si>
  <si>
    <t>Battery cells in series</t>
  </si>
  <si>
    <t>cells</t>
  </si>
  <si>
    <t>Equal cells. Capacity below is total pack capacity, including any parallel strings.</t>
  </si>
  <si>
    <t>Nominal cell voltage</t>
  </si>
  <si>
    <t>V</t>
  </si>
  <si>
    <t>Used to calculate stored nominal energy.</t>
  </si>
  <si>
    <t>Pack capacity</t>
  </si>
  <si>
    <t>mAh</t>
  </si>
  <si>
    <t>Changing capacity also changes calculated battery mass at fixed pack energy density.</t>
  </si>
  <si>
    <t>Pack energy density</t>
  </si>
  <si>
    <t>Wh/kg</t>
  </si>
  <si>
    <t>Nominal Wh divided by complete pack mass. ASSUMPTION example; replace with pack data.</t>
  </si>
  <si>
    <t>Usable energy fraction</t>
  </si>
  <si>
    <t>Share of nominal Wh usable under the intended load. Capacity, voltage drop and cutoff allowance.</t>
  </si>
  <si>
    <t>Recovery reserve / usable energy</t>
  </si>
  <si>
    <t>ASSUMPTION, not an acceptance limit. Held back from the nominal mission budget.</t>
  </si>
  <si>
    <t>Operating cell voltage</t>
  </si>
  <si>
    <t>Loaded voltage used for current estimates. Constant; no time-dependent voltage-drop model.</t>
  </si>
  <si>
    <t>Pack current limit</t>
  </si>
  <si>
    <t>Optional: supported battery/harness current for this duty. Leave blank without data.</t>
  </si>
  <si>
    <t>ESC current limit per rotor</t>
  </si>
  <si>
    <t>Optional: battery-side current per ESC for this duty; not motor phase current.</t>
  </si>
  <si>
    <t>Electrical power limit per rotor</t>
  </si>
  <si>
    <t>Optional: motor/ESC electrical input capability for this duty.</t>
  </si>
  <si>
    <t>Available thrust per rotor: hover</t>
  </si>
  <si>
    <t>Optional: measured/supported static thrust at operating voltage. No default capability assumed.</t>
  </si>
  <si>
    <t>Available thrust per rotor: target</t>
  </si>
  <si>
    <t>Optional: supported thrust at target airspeed and rotor inflow angle. Static data is insufficient.</t>
  </si>
  <si>
    <t>CALCULATED PROPERTIES</t>
  </si>
  <si>
    <t>Mass excluding battery</t>
  </si>
  <si>
    <t>Battery mass</t>
  </si>
  <si>
    <t>Weight force</t>
  </si>
  <si>
    <t>Total rotor disk area</t>
  </si>
  <si>
    <t>Effective drag area, CdA</t>
  </si>
  <si>
    <t>Energy held for recovery</t>
  </si>
  <si>
    <t>Nominal mission energy budget</t>
  </si>
  <si>
    <t>Operating pack voltage</t>
  </si>
  <si>
    <t>METHOD, SCOPE AND SOURCES</t>
  </si>
  <si>
    <t>ESTIMATE: equal-rotor multirotor; still air; no wing lift; fixed CdA; constant efficiencies; equal rotor loading.</t>
  </si>
  <si>
    <t>Mass = component sum + nominal battery Wh / pack Wh/kg. Density and efficiencies are illustrative assumptions.</t>
  </si>
  <si>
    <t>Drag = 0.5 × air density × CdA × airspeed². T = sqrt((load factor × weight)² + (drag + mass × positive acceleration)²).</t>
  </si>
  <si>
    <t>Inflow: vi × sqrt(Vt² + (Vn + vi)²) = T / (2 × density × disk area). Model uses 24 bounded bisection steps.</t>
  </si>
  <si>
    <t>Electrical power = (T × vi + forward force × speed) / rotor efficiency / motor-ESC efficiency + electronics power.</t>
  </si>
  <si>
    <t>Sources: NASA Glenn, Drag Equation. https://www1.grc.nasa.gov/beginners-guide-to-aeronautics/drag-equation/</t>
  </si>
  <si>
    <t>NASA / W. Johnson (2004), Rotor Inflow, pp. 2–3. https://rotorcraft.arc.nasa.gov/Publications/files/Johnson_AHS-SF2004.pdf</t>
  </si>
  <si>
    <t>Propeller calibration data: UIUC Propeller Database. https://m-selig.web.engr.illinois.edu/props/propDB.html</t>
  </si>
  <si>
    <t>Project basis: requirements/TOP_LEVEL_REQUIREMENTS.md (TLR-01,02,03,06,07); DERIVED_REQUIREMENTS.md (SYS-01, MP-01).</t>
  </si>
  <si>
    <t>Missing evidence: CdA versus attitude, rotor thrust/power versus inflow, loaded battery behavior. No aircraft measurement exists here.</t>
  </si>
  <si>
    <t>Validation path: component/bench characterization, hover/low-speed comparison, incremental speed passes; update model with measurements.</t>
  </si>
  <si>
    <t>No structural stress, thermal, vibration, RF or flight-control validation. Required thrust and power do not prove attainable speed.</t>
  </si>
  <si>
    <t>The high-speed qualifying hold and recovery reserve are open project decisions. Workbook example values do not amend requirements.</t>
  </si>
  <si>
    <t>Edit yellow durations, end-speed fractions and support loads. 100% speed means the target set on Inputs.</t>
  </si>
  <si>
    <t>ESTIMATE: default durations from MP-01. Acceleration uses three-point Simpson integration. Braking uses a steady-flight proxy.</t>
  </si>
  <si>
    <t>Phase</t>
  </si>
  <si>
    <t>Time (s)</t>
  </si>
  <si>
    <t>End speed / target</t>
  </si>
  <si>
    <t>Support load (× weight)</t>
  </si>
  <si>
    <t>Start (km/h)</t>
  </si>
  <si>
    <t>End (km/h)</t>
  </si>
  <si>
    <t>Positive accel. (m/s²)</t>
  </si>
  <si>
    <t>Mean input power (W)</t>
  </si>
  <si>
    <t>Energy (Wh)</t>
  </si>
  <si>
    <t>Peak sampled power (W)</t>
  </si>
  <si>
    <t>Phase assumption</t>
  </si>
  <si>
    <t>Startup / readiness</t>
  </si>
  <si>
    <t>Rotors off. Electronics draw only.</t>
  </si>
  <si>
    <t>Takeoff / hover / alignment</t>
  </si>
  <si>
    <t>Hover proxy with 10% extra support load; vertical climb is not resolved.</t>
  </si>
  <si>
    <t>Acceleration</t>
  </si>
  <si>
    <t>Linear speed ramp; positive acceleration adds force and kinetic-energy demand.</t>
  </si>
  <si>
    <t>High-speed level pass</t>
  </si>
  <si>
    <t>Five seconds is a sizing estimate, not a settled qualifying hold duration.</t>
  </si>
  <si>
    <t>Deceleration / turn</t>
  </si>
  <si>
    <t>Steady-power proxy along speed ramp; 20% extra support load; no regeneration.</t>
  </si>
  <si>
    <t>Return</t>
  </si>
  <si>
    <t>Return speed defaults to 20% of target. Course distance and wind are not modeled.</t>
  </si>
  <si>
    <t>Landing</t>
  </si>
  <si>
    <t>Steady-power proxy down to hover; vertical descent dynamics are not resolved.</t>
  </si>
  <si>
    <t>TOTAL POWERED TIME</t>
  </si>
  <si>
    <t>Total energy</t>
  </si>
  <si>
    <t>AIRBORNE TIME</t>
  </si>
  <si>
    <t>Peak propulsion / rotor</t>
  </si>
  <si>
    <t>W/rotor</t>
  </si>
  <si>
    <t>HOW THE BUDGET WORKS</t>
  </si>
  <si>
    <t>Each airborne phase is evaluated at its start, midpoint and end speed. Energy = (Pstart + 4 × Pmid + Pend) / 6 × time / 3600.</t>
  </si>
  <si>
    <t>Positive acceleration is derived from speed change / duration. It increases horizontal thrust and power. Deceleration is modeled at zero acceleration.</t>
  </si>
  <si>
    <t>This braking proxy deliberately gives no energy-recovery credit. It does not calculate reverse tilt, vortex-ring state or actual braking loads.</t>
  </si>
  <si>
    <t>Support load is a coarse allowance for lift demand in maneuvers. It is not a turn-radius, vertical-trajectory or attitude-control model.</t>
  </si>
  <si>
    <t>Peak sampled power is the maximum of the evaluated points, not a transient electrical peak. Startup assumes rotors are stopped.</t>
  </si>
  <si>
    <t>Set a phase duration to zero only if start and end speeds are equal. A speed jump in zero time makes results unavailable.</t>
  </si>
  <si>
    <t>ASSUMPTION: speed is airspeed in still air. No route length, wind, climb height, thermal transient or state-of-charge integration is included.</t>
  </si>
  <si>
    <t>MP-01 source: requirements/DERIVED_REQUIREMENTS.md. Default duration sequence: 30, 15, 10, 5, 15, 35, 10 seconds.</t>
  </si>
  <si>
    <t>Recovery reserve is separate on Inputs and is deducted from the usable energy before comparing this nominal mission.</t>
  </si>
  <si>
    <t>Physics calculations</t>
  </si>
  <si>
    <t>ESTIMATE: one formula model for hover, target, speed sweep and mission samples. Inputs are linked; edit the yellow cells on Inputs or Mission.</t>
  </si>
  <si>
    <t>Required demand only. The X:AU columns solve ideal inflow without circular references. W is relative momentum-equation residual.</t>
  </si>
  <si>
    <t>Operating point</t>
  </si>
  <si>
    <t>Speed (km/h)</t>
  </si>
  <si>
    <t>Support load</t>
  </si>
  <si>
    <t>Rotors on</t>
  </si>
  <si>
    <t>Speed (m/s)</t>
  </si>
  <si>
    <t>Drag (N)</t>
  </si>
  <si>
    <t>Forward force (N)</t>
  </si>
  <si>
    <t>Support force (N)</t>
  </si>
  <si>
    <t>Total thrust (N)</t>
  </si>
  <si>
    <t>Tilt (deg)</t>
  </si>
  <si>
    <t>Axial inflow (m/s)</t>
  </si>
  <si>
    <t>In-plane flow (m/s)</t>
  </si>
  <si>
    <t>Hover inflow (m/s)</t>
  </si>
  <si>
    <t>Solved inflow (m/s)</t>
  </si>
  <si>
    <t>Ideal induced power (W)</t>
  </si>
  <si>
    <t>Translation power (W)</t>
  </si>
  <si>
    <t>Shaft power (W)</t>
  </si>
  <si>
    <t>Electrical power (W)</t>
  </si>
  <si>
    <t>Pack current (A)</t>
  </si>
  <si>
    <t>Propulsion per rotor (W)</t>
  </si>
  <si>
    <t>Solver residual</t>
  </si>
  <si>
    <t>Inflow step 1</t>
  </si>
  <si>
    <t>Inflow step 2</t>
  </si>
  <si>
    <t>Inflow step 3</t>
  </si>
  <si>
    <t>Inflow step 4</t>
  </si>
  <si>
    <t>Inflow step 5</t>
  </si>
  <si>
    <t>Inflow step 6</t>
  </si>
  <si>
    <t>Inflow step 7</t>
  </si>
  <si>
    <t>Inflow step 8</t>
  </si>
  <si>
    <t>Inflow step 9</t>
  </si>
  <si>
    <t>Inflow step 10</t>
  </si>
  <si>
    <t>Inflow step 11</t>
  </si>
  <si>
    <t>Inflow step 12</t>
  </si>
  <si>
    <t>Inflow step 13</t>
  </si>
  <si>
    <t>Inflow step 14</t>
  </si>
  <si>
    <t>Inflow step 15</t>
  </si>
  <si>
    <t>Inflow step 16</t>
  </si>
  <si>
    <t>Inflow step 17</t>
  </si>
  <si>
    <t>Inflow step 18</t>
  </si>
  <si>
    <t>Inflow step 19</t>
  </si>
  <si>
    <t>Inflow step 20</t>
  </si>
  <si>
    <t>Inflow step 21</t>
  </si>
  <si>
    <t>Inflow step 22</t>
  </si>
  <si>
    <t>Inflow step 23</t>
  </si>
  <si>
    <t>Inflow step 24</t>
  </si>
  <si>
    <t>Hover</t>
  </si>
  <si>
    <t>Target: steady level</t>
  </si>
  <si>
    <t>Airspeed (km/h)</t>
  </si>
  <si>
    <t>Thrust required (N)</t>
  </si>
  <si>
    <t>Speed sweep 1</t>
  </si>
  <si>
    <t>Speed sweep 2</t>
  </si>
  <si>
    <t>Speed sweep 3</t>
  </si>
  <si>
    <t>Speed sweep 4</t>
  </si>
  <si>
    <t>Speed sweep 5</t>
  </si>
  <si>
    <t>Speed sweep 6</t>
  </si>
  <si>
    <t>Speed sweep 7</t>
  </si>
  <si>
    <t>Speed sweep 8</t>
  </si>
  <si>
    <t>Speed sweep 9</t>
  </si>
  <si>
    <t>Speed sweep 10</t>
  </si>
  <si>
    <t>Speed sweep 11</t>
  </si>
  <si>
    <t>Speed sweep 12</t>
  </si>
  <si>
    <t>Speed sweep 13</t>
  </si>
  <si>
    <t>Speed sweep 14</t>
  </si>
  <si>
    <t>Speed sweep 15</t>
  </si>
  <si>
    <t>Speed sweep 16</t>
  </si>
  <si>
    <t>Speed sweep 17</t>
  </si>
  <si>
    <t>Speed sweep 18</t>
  </si>
  <si>
    <t>Speed sweep 19</t>
  </si>
  <si>
    <t>Speed sweep 20</t>
  </si>
  <si>
    <t>Speed sweep 21</t>
  </si>
  <si>
    <t>Startup / readiness: start</t>
  </si>
  <si>
    <t>Startup / readiness: mid</t>
  </si>
  <si>
    <t>Startup / readiness: end</t>
  </si>
  <si>
    <t>Takeoff / hover / alignment: start</t>
  </si>
  <si>
    <t>Takeoff / hover / alignment: mid</t>
  </si>
  <si>
    <t>Takeoff / hover / alignment: end</t>
  </si>
  <si>
    <t>Acceleration: start</t>
  </si>
  <si>
    <t>Acceleration: mid</t>
  </si>
  <si>
    <t>Acceleration: end</t>
  </si>
  <si>
    <t>High-speed level pass: start</t>
  </si>
  <si>
    <t>High-speed level pass: mid</t>
  </si>
  <si>
    <t>High-speed level pass: end</t>
  </si>
  <si>
    <t>Deceleration / turn: start</t>
  </si>
  <si>
    <t>Deceleration / turn: mid</t>
  </si>
  <si>
    <t>Deceleration / turn: end</t>
  </si>
  <si>
    <t>Return: start</t>
  </si>
  <si>
    <t>Return: mid</t>
  </si>
  <si>
    <t>Return: end</t>
  </si>
  <si>
    <t>Landing: start</t>
  </si>
  <si>
    <t>Landing: mid</t>
  </si>
  <si>
    <t>Landing: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</si>
</sst>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000"/>
    <numFmt numFmtId="166" formatCode="0.000"/>
    <numFmt numFmtId="167" formatCode="0.0"/>
    <numFmt numFmtId="168" formatCode="0.000000"/>
    <numFmt numFmtId="169" formatCode="0.0%"/>
  </numFmts>
  <fonts count="8" x14ac:knownFonts="1">
    <font>
      <sz val="11"/>
      <name val="Carlito"/>
    </font>
    <font>
      <sz val="11"/>
      <color rgb="FF233448"/>
      <name val="Arial"/>
    </font>
    <font>
      <b/>
      <sz val="16"/>
      <color rgb="FF233448"/>
      <name val="Arial"/>
    </font>
    <font>
      <b/>
      <sz val="11"/>
      <color rgb="FFFFFFFF"/>
      <name val="Arial"/>
    </font>
    <font>
      <sz val="11"/>
      <color rgb="FF173B6D"/>
      <name val="Arial"/>
    </font>
    <font>
      <b/>
      <sz val="11"/>
      <color rgb="FF233448"/>
      <name val="Arial"/>
    </font>
    <font>
      <sz val="10"/>
      <color rgb="FF233448"/>
      <name val="Arial"/>
    </font>
    <font>
      <b/>
      <sz val="10"/>
      <color rgb="FF233448"/>
      <name val="Arial"/>
    </font>
  </fonts>
  <fills count="5">
    <fill>
      <patternFill patternType="none"/>
    </fill>
    <fill>
      <patternFill patternType="gray125"/>
    </fill>
    <fill>
      <patternFill patternType="solid">
        <fgColor rgb="FF234D76"/>
      </patternFill>
    </fill>
    <fill>
      <patternFill patternType="solid">
        <fgColor rgb="FFFFF0BD"/>
      </patternFill>
    </fill>
    <fill>
      <patternFill patternType="solid">
        <fgColor rgb="FFEAF0F6"/>
      </patternFill>
    </fill>
  </fills>
  <borders count="5">
    <border>
      <left/>
      <right/>
      <top/>
      <bottom/>
      <diagonal/>
    </border>
    <border>
      <left/>
      <right/>
      <top/>
      <bottom style="thin">
        <color rgb="FF234D76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164" fontId="5" fillId="4" borderId="0" xfId="0" applyNumberFormat="1" applyFont="1" applyFill="1" applyAlignment="1">
      <alignment vertical="center"/>
    </xf>
    <xf numFmtId="1" fontId="4" fillId="3" borderId="0" xfId="0" applyNumberFormat="1" applyFont="1" applyFill="1" applyAlignment="1">
      <alignment vertical="center"/>
    </xf>
    <xf numFmtId="1" fontId="4" fillId="4" borderId="0" xfId="0" applyNumberFormat="1" applyFont="1" applyFill="1" applyAlignment="1">
      <alignment vertical="center"/>
    </xf>
    <xf numFmtId="1" fontId="1" fillId="0" borderId="0" xfId="0" applyNumberFormat="1" applyFont="1" applyAlignment="1">
      <alignment vertical="center"/>
    </xf>
    <xf numFmtId="2" fontId="4" fillId="3" borderId="0" xfId="0" applyNumberFormat="1" applyFont="1" applyFill="1" applyAlignment="1">
      <alignment vertical="center"/>
    </xf>
    <xf numFmtId="2" fontId="1" fillId="0" borderId="0" xfId="0" applyNumberFormat="1" applyFont="1" applyAlignment="1">
      <alignment vertical="center"/>
    </xf>
    <xf numFmtId="2" fontId="5" fillId="4" borderId="0" xfId="0" applyNumberFormat="1" applyFont="1" applyFill="1" applyAlignment="1">
      <alignment vertical="center"/>
    </xf>
    <xf numFmtId="3" fontId="4" fillId="3" borderId="0" xfId="0" applyNumberFormat="1" applyFont="1" applyFill="1" applyAlignment="1">
      <alignment vertical="center"/>
    </xf>
    <xf numFmtId="9" fontId="4" fillId="3" borderId="0" xfId="0" applyNumberFormat="1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166" fontId="4" fillId="3" borderId="0" xfId="0" applyNumberFormat="1" applyFont="1" applyFill="1" applyAlignment="1">
      <alignment vertical="center"/>
    </xf>
    <xf numFmtId="0" fontId="1" fillId="0" borderId="0" xfId="0" applyFont="1" applyAlignment="1">
      <alignment vertical="center" wrapText="1"/>
    </xf>
    <xf numFmtId="166" fontId="1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7" fontId="4" fillId="3" borderId="0" xfId="0" applyNumberFormat="1" applyFont="1" applyFill="1" applyAlignment="1">
      <alignment vertical="center"/>
    </xf>
    <xf numFmtId="167" fontId="1" fillId="0" borderId="0" xfId="0" applyNumberFormat="1" applyFont="1" applyAlignment="1">
      <alignment vertical="center"/>
    </xf>
    <xf numFmtId="9" fontId="4" fillId="4" borderId="0" xfId="0" applyNumberFormat="1" applyFont="1" applyFill="1" applyAlignment="1">
      <alignment vertical="center"/>
    </xf>
    <xf numFmtId="2" fontId="4" fillId="4" borderId="0" xfId="0" applyNumberFormat="1" applyFont="1" applyFill="1" applyAlignment="1">
      <alignment vertical="center"/>
    </xf>
    <xf numFmtId="167" fontId="5" fillId="4" borderId="0" xfId="0" applyNumberFormat="1" applyFont="1" applyFill="1" applyAlignment="1">
      <alignment vertical="center"/>
    </xf>
    <xf numFmtId="4" fontId="1" fillId="0" borderId="0" xfId="0" applyNumberFormat="1" applyFont="1" applyAlignment="1">
      <alignment vertical="center"/>
    </xf>
    <xf numFmtId="11" fontId="1" fillId="0" borderId="0" xfId="0" applyNumberFormat="1" applyFont="1" applyAlignment="1">
      <alignment vertical="center"/>
    </xf>
    <xf numFmtId="168" fontId="1" fillId="0" borderId="0" xfId="0" applyNumberFormat="1" applyFont="1" applyAlignment="1">
      <alignment vertical="center"/>
    </xf>
    <xf numFmtId="0" fontId="1" fillId="4" borderId="0" xfId="0" applyFont="1" applyFill="1" applyAlignment="1">
      <alignment vertical="center" wrapText="1"/>
    </xf>
    <xf numFmtId="4" fontId="1" fillId="4" borderId="0" xfId="0" applyNumberFormat="1" applyFont="1" applyFill="1" applyAlignment="1">
      <alignment vertical="center"/>
    </xf>
    <xf numFmtId="11" fontId="1" fillId="4" borderId="0" xfId="0" applyNumberFormat="1" applyFont="1" applyFill="1" applyAlignment="1">
      <alignment vertical="center"/>
    </xf>
    <xf numFmtId="3" fontId="1" fillId="0" borderId="0" xfId="0" applyNumberFormat="1" applyFont="1" applyAlignment="1">
      <alignment vertical="center"/>
    </xf>
    <xf numFmtId="169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7" fillId="4" borderId="0" xfId="0" applyFont="1" applyFill="1" applyAlignment="1">
      <alignment vertical="center"/>
    </xf>
  </cellXfs>
  <cellStyles count="1">
    <cellStyle name="Normal" xfId="0" builtinId="0"/>
  </cellStyles>
  <dxfs count="9">
    <dxf>
      <font>
        <color rgb="FFA32222"/>
      </font>
      <fill>
        <patternFill patternType="solid">
          <bgColor rgb="FFFCE3E2"/>
        </patternFill>
      </fill>
    </dxf>
    <dxf>
      <font>
        <color rgb="FFA32222"/>
      </font>
      <fill>
        <patternFill patternType="solid">
          <bgColor rgb="FFFCE3E2"/>
        </patternFill>
      </fill>
    </dxf>
    <dxf>
      <font>
        <b/>
        <color rgb="FFA32222"/>
      </font>
      <fill>
        <patternFill patternType="solid">
          <bgColor rgb="FFFCE3E2"/>
        </patternFill>
      </fill>
    </dxf>
    <dxf>
      <font>
        <color rgb="FFA32222"/>
      </font>
      <fill>
        <patternFill patternType="solid">
          <bgColor rgb="FFFCE3E2"/>
        </patternFill>
      </fill>
    </dxf>
    <dxf>
      <font>
        <b/>
        <color rgb="FFA32222"/>
      </font>
      <fill>
        <patternFill patternType="solid">
          <bgColor rgb="FFFCE3E2"/>
        </patternFill>
      </fill>
    </dxf>
    <dxf>
      <font>
        <b/>
        <color rgb="FFA32222"/>
      </font>
      <fill>
        <patternFill patternType="solid">
          <bgColor rgb="FFFCE3E2"/>
        </patternFill>
      </fill>
    </dxf>
    <dxf>
      <font>
        <b/>
        <color rgb="FFA32222"/>
      </font>
      <fill>
        <patternFill patternType="solid">
          <bgColor rgb="FFFCE3E2"/>
        </patternFill>
      </fill>
    </dxf>
    <dxf>
      <font>
        <b/>
        <color rgb="FFA32222"/>
      </font>
      <fill>
        <patternFill patternType="solid">
          <bgColor rgb="FFFCE3E2"/>
        </patternFill>
      </fill>
    </dxf>
    <dxf>
      <font>
        <color rgb="FFA32222"/>
      </font>
      <fill>
        <patternFill patternType="solid">
          <bgColor rgb="FFFCE3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Steady electrical power required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Electrical power (W)</c:v>
          </c:tx>
          <c:spPr>
            <a:ln w="19050">
              <a:solidFill>
                <a:srgbClr val="234D76"/>
              </a:solidFill>
              <a:prstDash val="solid"/>
            </a:ln>
          </c:spPr>
          <c:xVal>
            <c:numRef>
              <c:f>Model!$C$12:$C$32</c:f>
              <c:numCache>
                <c:formatCode>#,##0.00</c:formatCode>
                <c:ptCount val="21"/>
                <c:pt idx="0">
                  <c:v>0</c:v>
                </c:pt>
                <c:pt idx="1">
                  <c:v>18</c:v>
                </c:pt>
                <c:pt idx="2">
                  <c:v>36</c:v>
                </c:pt>
                <c:pt idx="3">
                  <c:v>54</c:v>
                </c:pt>
                <c:pt idx="4">
                  <c:v>72</c:v>
                </c:pt>
                <c:pt idx="5">
                  <c:v>90</c:v>
                </c:pt>
                <c:pt idx="6">
                  <c:v>108</c:v>
                </c:pt>
                <c:pt idx="7">
                  <c:v>126</c:v>
                </c:pt>
                <c:pt idx="8">
                  <c:v>144</c:v>
                </c:pt>
                <c:pt idx="9">
                  <c:v>162</c:v>
                </c:pt>
                <c:pt idx="10">
                  <c:v>180</c:v>
                </c:pt>
                <c:pt idx="11">
                  <c:v>198</c:v>
                </c:pt>
                <c:pt idx="12">
                  <c:v>216</c:v>
                </c:pt>
                <c:pt idx="13">
                  <c:v>234</c:v>
                </c:pt>
                <c:pt idx="14">
                  <c:v>252</c:v>
                </c:pt>
                <c:pt idx="15">
                  <c:v>270</c:v>
                </c:pt>
                <c:pt idx="16">
                  <c:v>288</c:v>
                </c:pt>
                <c:pt idx="17">
                  <c:v>306</c:v>
                </c:pt>
                <c:pt idx="18">
                  <c:v>324</c:v>
                </c:pt>
                <c:pt idx="19">
                  <c:v>342</c:v>
                </c:pt>
                <c:pt idx="20">
                  <c:v>360</c:v>
                </c:pt>
              </c:numCache>
            </c:numRef>
          </c:xVal>
          <c:yVal>
            <c:numRef>
              <c:f>Model!$T$12:$T$32</c:f>
              <c:numCache>
                <c:formatCode>#,##0.00</c:formatCode>
                <c:ptCount val="21"/>
                <c:pt idx="0">
                  <c:v>205.65101033352528</c:v>
                </c:pt>
                <c:pt idx="1">
                  <c:v>193.86545579005789</c:v>
                </c:pt>
                <c:pt idx="2">
                  <c:v>167.89042991309876</c:v>
                </c:pt>
                <c:pt idx="3">
                  <c:v>150.95346750507841</c:v>
                </c:pt>
                <c:pt idx="4">
                  <c:v>158.74161752058157</c:v>
                </c:pt>
                <c:pt idx="5">
                  <c:v>195.14976193388614</c:v>
                </c:pt>
                <c:pt idx="6">
                  <c:v>262.43584410396522</c:v>
                </c:pt>
                <c:pt idx="7">
                  <c:v>363.89069398426443</c:v>
                </c:pt>
                <c:pt idx="8">
                  <c:v>503.60288485023318</c:v>
                </c:pt>
                <c:pt idx="9">
                  <c:v>686.10746643243795</c:v>
                </c:pt>
                <c:pt idx="10">
                  <c:v>916.1856393946598</c:v>
                </c:pt>
                <c:pt idx="11">
                  <c:v>1198.7593943303377</c:v>
                </c:pt>
                <c:pt idx="12">
                  <c:v>1538.8349931514315</c:v>
                </c:pt>
                <c:pt idx="13">
                  <c:v>1941.4714229526091</c:v>
                </c:pt>
                <c:pt idx="14">
                  <c:v>2411.7617618206077</c:v>
                </c:pt>
                <c:pt idx="15">
                  <c:v>2954.8220811179663</c:v>
                </c:pt>
                <c:pt idx="16">
                  <c:v>3575.7842046744618</c:v>
                </c:pt>
                <c:pt idx="17">
                  <c:v>4279.7912126586061</c:v>
                </c:pt>
                <c:pt idx="18">
                  <c:v>5071.9943130114934</c:v>
                </c:pt>
                <c:pt idx="19">
                  <c:v>5957.5505141347476</c:v>
                </c:pt>
                <c:pt idx="20">
                  <c:v>6941.6214437582439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B9-4F89-B294-9B48DB6F7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Power (W)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Airspeed (km/h)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Steady total thrust required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Thrust required (N)</c:v>
          </c:tx>
          <c:spPr>
            <a:ln w="19050">
              <a:solidFill>
                <a:srgbClr val="9B5E25"/>
              </a:solidFill>
              <a:prstDash val="solid"/>
            </a:ln>
          </c:spPr>
          <c:xVal>
            <c:numRef>
              <c:f>Model!$C$12:$C$32</c:f>
              <c:numCache>
                <c:formatCode>#,##0.00</c:formatCode>
                <c:ptCount val="21"/>
                <c:pt idx="0">
                  <c:v>0</c:v>
                </c:pt>
                <c:pt idx="1">
                  <c:v>18</c:v>
                </c:pt>
                <c:pt idx="2">
                  <c:v>36</c:v>
                </c:pt>
                <c:pt idx="3">
                  <c:v>54</c:v>
                </c:pt>
                <c:pt idx="4">
                  <c:v>72</c:v>
                </c:pt>
                <c:pt idx="5">
                  <c:v>90</c:v>
                </c:pt>
                <c:pt idx="6">
                  <c:v>108</c:v>
                </c:pt>
                <c:pt idx="7">
                  <c:v>126</c:v>
                </c:pt>
                <c:pt idx="8">
                  <c:v>144</c:v>
                </c:pt>
                <c:pt idx="9">
                  <c:v>162</c:v>
                </c:pt>
                <c:pt idx="10">
                  <c:v>180</c:v>
                </c:pt>
                <c:pt idx="11">
                  <c:v>198</c:v>
                </c:pt>
                <c:pt idx="12">
                  <c:v>216</c:v>
                </c:pt>
                <c:pt idx="13">
                  <c:v>234</c:v>
                </c:pt>
                <c:pt idx="14">
                  <c:v>252</c:v>
                </c:pt>
                <c:pt idx="15">
                  <c:v>270</c:v>
                </c:pt>
                <c:pt idx="16">
                  <c:v>288</c:v>
                </c:pt>
                <c:pt idx="17">
                  <c:v>306</c:v>
                </c:pt>
                <c:pt idx="18">
                  <c:v>324</c:v>
                </c:pt>
                <c:pt idx="19">
                  <c:v>342</c:v>
                </c:pt>
                <c:pt idx="20">
                  <c:v>360</c:v>
                </c:pt>
              </c:numCache>
            </c:numRef>
          </c:xVal>
          <c:yVal>
            <c:numRef>
              <c:f>Model!$K$12:$K$32</c:f>
              <c:numCache>
                <c:formatCode>#,##0.00</c:formatCode>
                <c:ptCount val="21"/>
                <c:pt idx="0">
                  <c:v>11.4370055625</c:v>
                </c:pt>
                <c:pt idx="1">
                  <c:v>11.437425419938524</c:v>
                </c:pt>
                <c:pt idx="2">
                  <c:v>11.443721433024134</c:v>
                </c:pt>
                <c:pt idx="3">
                  <c:v>11.470964224364748</c:v>
                </c:pt>
                <c:pt idx="4">
                  <c:v>11.543990654737033</c:v>
                </c:pt>
                <c:pt idx="5">
                  <c:v>11.696477941528208</c:v>
                </c:pt>
                <c:pt idx="6">
                  <c:v>11.968787751341234</c:v>
                </c:pt>
                <c:pt idx="7">
                  <c:v>12.404204941738746</c:v>
                </c:pt>
                <c:pt idx="8">
                  <c:v>13.043890532991142</c:v>
                </c:pt>
                <c:pt idx="9">
                  <c:v>13.921815263702358</c:v>
                </c:pt>
                <c:pt idx="10">
                  <c:v>15.061377634089652</c:v>
                </c:pt>
                <c:pt idx="11">
                  <c:v>16.474746135727131</c:v>
                </c:pt>
                <c:pt idx="12">
                  <c:v>18.164626069276956</c:v>
                </c:pt>
                <c:pt idx="13">
                  <c:v>20.127218889768557</c:v>
                </c:pt>
                <c:pt idx="14">
                  <c:v>22.355141695740961</c:v>
                </c:pt>
                <c:pt idx="15">
                  <c:v>24.839637602764178</c:v>
                </c:pt>
                <c:pt idx="16">
                  <c:v>27.571957497367794</c:v>
                </c:pt>
                <c:pt idx="17">
                  <c:v>30.54407929921372</c:v>
                </c:pt>
                <c:pt idx="18">
                  <c:v>33.748994062588835</c:v>
                </c:pt>
                <c:pt idx="19">
                  <c:v>37.1807474405324</c:v>
                </c:pt>
                <c:pt idx="20">
                  <c:v>40.834361709676038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3B-4C20-9F55-2B4B5DF5F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Thrust (N)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Airspeed (km/h)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13</xdr:col>
      <xdr:colOff>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4D76"/>
  </sheetPr>
  <dimension ref="B2:M54"/>
  <sheetViews>
    <sheetView showGridLines="0" tabSelected="1" workbookViewId="0"/>
  </sheetViews>
  <sheetFormatPr defaultRowHeight="14.4" x14ac:dyDescent="0.3"/>
  <cols>
    <col min="1" max="1" width="3" customWidth="1"/>
    <col min="2" max="2" width="36" customWidth="1"/>
    <col min="3" max="3" width="17" customWidth="1"/>
    <col min="4" max="4" width="13" customWidth="1"/>
    <col min="5" max="5" width="3" customWidth="1"/>
    <col min="6" max="6" width="18" customWidth="1"/>
    <col min="7" max="12" width="15" customWidth="1"/>
    <col min="13" max="13" width="3" customWidth="1"/>
  </cols>
  <sheetData>
    <row r="2" spans="2:13" ht="30" customHeight="1" x14ac:dyDescent="0.3"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 ht="22.95" customHeight="1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1"/>
    </row>
    <row r="4" spans="2:13" ht="22.95" customHeight="1" x14ac:dyDescent="0.3"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2:13" ht="22.95" customHeight="1" x14ac:dyDescent="0.3">
      <c r="B5" s="1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2:13" ht="22.95" customHeigh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2:13" ht="34.049999999999997" customHeight="1" x14ac:dyDescent="0.3">
      <c r="B7" s="4" t="s">
        <v>3</v>
      </c>
      <c r="C7" s="5" t="s">
        <v>4</v>
      </c>
      <c r="D7" s="6" t="s">
        <v>5</v>
      </c>
      <c r="E7" s="1"/>
      <c r="F7" s="1"/>
      <c r="G7" s="1"/>
      <c r="H7" s="1"/>
      <c r="I7" s="1"/>
      <c r="J7" s="1"/>
      <c r="K7" s="1"/>
      <c r="L7" s="1"/>
      <c r="M7" s="1"/>
    </row>
    <row r="8" spans="2:13" ht="22.95" customHeight="1" x14ac:dyDescent="0.3">
      <c r="B8" s="1" t="s">
        <v>6</v>
      </c>
      <c r="C8" s="22">
        <f>Inputs!C55</f>
        <v>1.16625</v>
      </c>
      <c r="D8" s="1" t="s">
        <v>7</v>
      </c>
      <c r="E8" s="1"/>
      <c r="F8" s="1"/>
      <c r="G8" s="1"/>
      <c r="H8" s="1"/>
      <c r="I8" s="1"/>
      <c r="J8" s="1"/>
      <c r="K8" s="1"/>
      <c r="L8" s="1"/>
      <c r="M8" s="1"/>
    </row>
    <row r="9" spans="2:13" ht="22.95" customHeight="1" x14ac:dyDescent="0.3">
      <c r="B9" s="1" t="s">
        <v>8</v>
      </c>
      <c r="C9" s="25">
        <f>Model!H9</f>
        <v>27.222222222222225</v>
      </c>
      <c r="D9" s="1" t="s">
        <v>9</v>
      </c>
      <c r="E9" s="1"/>
      <c r="F9" s="1"/>
      <c r="G9" s="1"/>
      <c r="H9" s="1"/>
      <c r="I9" s="1"/>
      <c r="J9" s="1"/>
      <c r="K9" s="1"/>
      <c r="L9" s="1"/>
      <c r="M9" s="1"/>
    </row>
    <row r="10" spans="2:13" ht="22.95" customHeight="1" x14ac:dyDescent="0.3">
      <c r="B10" s="1" t="s">
        <v>10</v>
      </c>
      <c r="C10" s="25">
        <f>Model!K9</f>
        <v>29.527182035417898</v>
      </c>
      <c r="D10" s="1" t="s">
        <v>9</v>
      </c>
      <c r="E10" s="1"/>
      <c r="F10" s="1"/>
      <c r="G10" s="1"/>
      <c r="H10" s="1"/>
      <c r="I10" s="1"/>
      <c r="J10" s="1"/>
      <c r="K10" s="1"/>
      <c r="L10" s="1"/>
      <c r="M10" s="1"/>
    </row>
    <row r="11" spans="2:13" ht="22.95" customHeight="1" x14ac:dyDescent="0.3">
      <c r="B11" s="1" t="s">
        <v>11</v>
      </c>
      <c r="C11" s="25">
        <f>Model!K9/Inputs!C25</f>
        <v>7.3817955088544744</v>
      </c>
      <c r="D11" s="1" t="s">
        <v>9</v>
      </c>
      <c r="E11" s="1"/>
      <c r="F11" s="1"/>
      <c r="G11" s="1"/>
      <c r="H11" s="1"/>
      <c r="I11" s="1"/>
      <c r="J11" s="1"/>
      <c r="K11" s="1"/>
      <c r="L11" s="1"/>
      <c r="M11" s="1"/>
    </row>
    <row r="12" spans="2:13" ht="22.95" customHeight="1" x14ac:dyDescent="0.3">
      <c r="B12" s="1" t="s">
        <v>12</v>
      </c>
      <c r="C12" s="25">
        <f>Model!L9</f>
        <v>67.211024458160693</v>
      </c>
      <c r="D12" s="1" t="s">
        <v>13</v>
      </c>
      <c r="E12" s="1"/>
      <c r="F12" s="1"/>
      <c r="G12" s="1"/>
      <c r="H12" s="1"/>
      <c r="I12" s="1"/>
      <c r="J12" s="1"/>
      <c r="K12" s="1"/>
      <c r="L12" s="1"/>
      <c r="M12" s="1"/>
    </row>
    <row r="13" spans="2:13" ht="22.95" customHeight="1" x14ac:dyDescent="0.3">
      <c r="B13" s="1" t="s">
        <v>14</v>
      </c>
      <c r="C13" s="35">
        <f>Model!T9</f>
        <v>4035.5772466314002</v>
      </c>
      <c r="D13" s="1" t="s">
        <v>15</v>
      </c>
      <c r="E13" s="1"/>
      <c r="F13" s="1"/>
      <c r="G13" s="1"/>
      <c r="H13" s="1"/>
      <c r="I13" s="1"/>
      <c r="J13" s="1"/>
      <c r="K13" s="1"/>
      <c r="L13" s="1"/>
      <c r="M13" s="1"/>
    </row>
    <row r="14" spans="2:13" ht="22.95" customHeight="1" x14ac:dyDescent="0.3">
      <c r="B14" s="1" t="s">
        <v>16</v>
      </c>
      <c r="C14" s="35">
        <f>Model!T8</f>
        <v>205.65101033352528</v>
      </c>
      <c r="D14" s="1" t="s">
        <v>15</v>
      </c>
      <c r="E14" s="1"/>
      <c r="F14" s="1"/>
      <c r="G14" s="1"/>
      <c r="H14" s="1"/>
      <c r="I14" s="1"/>
      <c r="J14" s="1"/>
      <c r="K14" s="1"/>
      <c r="L14" s="1"/>
      <c r="M14" s="1"/>
    </row>
    <row r="15" spans="2:13" ht="22.95" customHeight="1" x14ac:dyDescent="0.3">
      <c r="B15" s="1" t="s">
        <v>17</v>
      </c>
      <c r="C15" s="13">
        <f>Model!C9</f>
        <v>300</v>
      </c>
      <c r="D15" s="1" t="s">
        <v>18</v>
      </c>
      <c r="E15" s="1"/>
      <c r="F15" s="1"/>
      <c r="G15" s="1"/>
      <c r="H15" s="1"/>
      <c r="I15" s="1"/>
      <c r="J15" s="1"/>
      <c r="K15" s="1"/>
      <c r="L15" s="1"/>
      <c r="M15" s="1"/>
    </row>
    <row r="16" spans="2:13" ht="40.049999999999997" customHeight="1" x14ac:dyDescent="0.3">
      <c r="B16" s="1" t="s">
        <v>19</v>
      </c>
      <c r="C16" s="21" t="str">
        <f>IF(C15&lt;300,"Target below 300 km/h","Target at least 300 km/h")</f>
        <v>Target at least 300 km/h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2:13" ht="22.95" customHeight="1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2:13" ht="22.95" customHeight="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2:13" ht="34.049999999999997" customHeight="1" x14ac:dyDescent="0.3">
      <c r="B19" s="4" t="s">
        <v>20</v>
      </c>
      <c r="C19" s="5" t="s">
        <v>4</v>
      </c>
      <c r="D19" s="6" t="s">
        <v>5</v>
      </c>
      <c r="E19" s="1"/>
      <c r="F19" s="1"/>
      <c r="G19" s="1"/>
      <c r="H19" s="1"/>
      <c r="I19" s="1"/>
      <c r="J19" s="1"/>
      <c r="K19" s="1"/>
      <c r="L19" s="1"/>
      <c r="M19" s="1"/>
    </row>
    <row r="20" spans="2:13" ht="22.95" customHeight="1" x14ac:dyDescent="0.3">
      <c r="B20" s="1" t="s">
        <v>21</v>
      </c>
      <c r="C20" s="25">
        <f>Inputs!C53</f>
        <v>66.600000000000009</v>
      </c>
      <c r="D20" s="1" t="s">
        <v>22</v>
      </c>
      <c r="E20" s="1"/>
      <c r="F20" s="1"/>
      <c r="G20" s="1"/>
      <c r="H20" s="1"/>
      <c r="I20" s="1"/>
      <c r="J20" s="1"/>
      <c r="K20" s="1"/>
      <c r="L20" s="1"/>
      <c r="M20" s="1"/>
    </row>
    <row r="21" spans="2:13" ht="22.95" customHeight="1" x14ac:dyDescent="0.3">
      <c r="B21" s="1" t="s">
        <v>23</v>
      </c>
      <c r="C21" s="25">
        <f>Inputs!C59</f>
        <v>53.280000000000008</v>
      </c>
      <c r="D21" s="1" t="s">
        <v>22</v>
      </c>
      <c r="E21" s="1"/>
      <c r="F21" s="1"/>
      <c r="G21" s="1"/>
      <c r="H21" s="1"/>
      <c r="I21" s="1"/>
      <c r="J21" s="1"/>
      <c r="K21" s="1"/>
      <c r="L21" s="1"/>
      <c r="M21" s="1"/>
    </row>
    <row r="22" spans="2:13" ht="22.95" customHeight="1" x14ac:dyDescent="0.3">
      <c r="B22" s="1" t="s">
        <v>24</v>
      </c>
      <c r="C22" s="25">
        <f>Inputs!C60</f>
        <v>10.656000000000002</v>
      </c>
      <c r="D22" s="1" t="s">
        <v>22</v>
      </c>
      <c r="E22" s="1"/>
      <c r="F22" s="1"/>
      <c r="G22" s="1"/>
      <c r="H22" s="1"/>
      <c r="I22" s="1"/>
      <c r="J22" s="1"/>
      <c r="K22" s="1"/>
      <c r="L22" s="1"/>
      <c r="M22" s="1"/>
    </row>
    <row r="23" spans="2:13" ht="22.95" customHeight="1" x14ac:dyDescent="0.3">
      <c r="B23" s="1" t="s">
        <v>25</v>
      </c>
      <c r="C23" s="25">
        <f>Inputs!C61</f>
        <v>42.624000000000009</v>
      </c>
      <c r="D23" s="1" t="s">
        <v>22</v>
      </c>
      <c r="E23" s="1"/>
      <c r="F23" s="1"/>
      <c r="G23" s="1"/>
      <c r="H23" s="1"/>
      <c r="I23" s="1"/>
      <c r="J23" s="1"/>
      <c r="K23" s="1"/>
      <c r="L23" s="1"/>
      <c r="M23" s="1"/>
    </row>
    <row r="24" spans="2:13" ht="22.95" customHeight="1" x14ac:dyDescent="0.3">
      <c r="B24" s="1" t="s">
        <v>26</v>
      </c>
      <c r="C24" s="25">
        <f>Mission!J16</f>
        <v>19.426648358989784</v>
      </c>
      <c r="D24" s="1" t="s">
        <v>22</v>
      </c>
      <c r="E24" s="1"/>
      <c r="F24" s="1"/>
      <c r="G24" s="1"/>
      <c r="H24" s="1"/>
      <c r="I24" s="1"/>
      <c r="J24" s="1"/>
      <c r="K24" s="1"/>
      <c r="L24" s="1"/>
      <c r="M24" s="1"/>
    </row>
    <row r="25" spans="2:13" ht="22.95" customHeight="1" x14ac:dyDescent="0.3">
      <c r="B25" s="1" t="s">
        <v>27</v>
      </c>
      <c r="C25" s="25">
        <f>C23-C24</f>
        <v>23.197351641010226</v>
      </c>
      <c r="D25" s="1" t="s">
        <v>22</v>
      </c>
      <c r="E25" s="1"/>
      <c r="F25" s="1"/>
      <c r="G25" s="1"/>
      <c r="H25" s="1"/>
      <c r="I25" s="1"/>
      <c r="J25" s="1"/>
      <c r="K25" s="1"/>
      <c r="L25" s="1"/>
      <c r="M25" s="1"/>
    </row>
    <row r="26" spans="2:13" ht="22.95" customHeight="1" x14ac:dyDescent="0.3">
      <c r="B26" s="1" t="s">
        <v>28</v>
      </c>
      <c r="C26" s="25">
        <f>Mission!C16</f>
        <v>120</v>
      </c>
      <c r="D26" s="1" t="s">
        <v>29</v>
      </c>
      <c r="E26" s="1"/>
      <c r="F26" s="1"/>
      <c r="G26" s="1"/>
      <c r="H26" s="1"/>
      <c r="I26" s="1"/>
      <c r="J26" s="1"/>
      <c r="K26" s="1"/>
      <c r="L26" s="1"/>
      <c r="M26" s="1"/>
    </row>
    <row r="27" spans="2:13" ht="22.95" customHeight="1" x14ac:dyDescent="0.3">
      <c r="B27" s="1" t="s">
        <v>30</v>
      </c>
      <c r="C27" s="25">
        <f>Mission!C17</f>
        <v>90</v>
      </c>
      <c r="D27" s="1" t="s">
        <v>29</v>
      </c>
      <c r="E27" s="1"/>
      <c r="F27" s="1"/>
      <c r="G27" s="1"/>
      <c r="H27" s="1"/>
      <c r="I27" s="1"/>
      <c r="J27" s="1"/>
      <c r="K27" s="1"/>
      <c r="L27" s="1"/>
      <c r="M27" s="1"/>
    </row>
    <row r="28" spans="2:13" ht="22.95" customHeight="1" x14ac:dyDescent="0.3">
      <c r="B28" s="1" t="s">
        <v>31</v>
      </c>
      <c r="C28" s="35">
        <f>Mission!K16</f>
        <v>5517.5611859693317</v>
      </c>
      <c r="D28" s="1" t="s">
        <v>15</v>
      </c>
      <c r="E28" s="1"/>
      <c r="F28" s="1"/>
      <c r="G28" s="1"/>
      <c r="H28" s="1"/>
      <c r="I28" s="1"/>
      <c r="J28" s="1"/>
      <c r="K28" s="1"/>
      <c r="L28" s="1"/>
      <c r="M28" s="1"/>
    </row>
    <row r="29" spans="2:13" ht="22.95" customHeight="1" x14ac:dyDescent="0.3">
      <c r="B29" s="1" t="s">
        <v>32</v>
      </c>
      <c r="C29" s="25">
        <f>Mission!C19</f>
        <v>262.74100885568248</v>
      </c>
      <c r="D29" s="1" t="s">
        <v>33</v>
      </c>
      <c r="E29" s="1"/>
      <c r="F29" s="1"/>
      <c r="G29" s="1"/>
      <c r="H29" s="1"/>
      <c r="I29" s="1"/>
      <c r="J29" s="1"/>
      <c r="K29" s="1"/>
      <c r="L29" s="1"/>
      <c r="M29" s="1"/>
    </row>
    <row r="30" spans="2:13" ht="22.95" customHeight="1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2:13" ht="43.05" customHeight="1" x14ac:dyDescent="0.3">
      <c r="B31" s="1" t="s">
        <v>34</v>
      </c>
      <c r="C31" s="21" t="str">
        <f>IF(C25&gt;=0,"Within assumed budget","Exceeds assumed budget")</f>
        <v>Within assumed budget</v>
      </c>
      <c r="D31" s="21"/>
      <c r="E31" s="1"/>
      <c r="F31" s="1"/>
      <c r="G31" s="1"/>
      <c r="H31" s="1"/>
      <c r="I31" s="1"/>
      <c r="J31" s="1"/>
      <c r="K31" s="1"/>
      <c r="L31" s="1"/>
      <c r="M31" s="1"/>
    </row>
    <row r="32" spans="2:13" ht="22.95" customHeight="1" x14ac:dyDescent="0.3">
      <c r="B32" s="1"/>
      <c r="C32" s="21"/>
      <c r="D32" s="21"/>
      <c r="E32" s="1"/>
      <c r="F32" s="1"/>
      <c r="G32" s="1"/>
      <c r="H32" s="1"/>
      <c r="I32" s="1"/>
      <c r="J32" s="1"/>
      <c r="K32" s="1"/>
      <c r="L32" s="1"/>
      <c r="M32" s="1"/>
    </row>
    <row r="33" spans="2:13" ht="22.95" customHeigh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 ht="22.95" customHeight="1" x14ac:dyDescent="0.3">
      <c r="B34" s="23" t="s">
        <v>35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 ht="22.95" customHeight="1" x14ac:dyDescent="0.3">
      <c r="B35" s="23" t="s">
        <v>36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 ht="22.95" customHeight="1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 ht="22.95" customHeight="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 ht="34.049999999999997" customHeight="1" x14ac:dyDescent="0.3">
      <c r="B38" s="4" t="s">
        <v>37</v>
      </c>
      <c r="C38" s="5" t="s">
        <v>38</v>
      </c>
      <c r="D38" s="6" t="s">
        <v>5</v>
      </c>
      <c r="E38" s="1"/>
      <c r="F38" s="1" t="s">
        <v>39</v>
      </c>
      <c r="G38" s="1"/>
      <c r="H38" s="1"/>
      <c r="I38" s="1"/>
      <c r="J38" s="1"/>
      <c r="K38" s="1"/>
      <c r="L38" s="1"/>
      <c r="M38" s="1"/>
    </row>
    <row r="39" spans="2:13" ht="22.95" customHeight="1" x14ac:dyDescent="0.3">
      <c r="B39" s="1" t="s">
        <v>40</v>
      </c>
      <c r="C39" s="36" t="str">
        <f>IF(Inputs!C47="","n.a.",IF(Inputs!E47="Entered",Inputs!C47*Inputs!C25/Model!K8-1,NA()))</f>
        <v>n.a.</v>
      </c>
      <c r="D39" s="1" t="s">
        <v>41</v>
      </c>
      <c r="E39" s="1"/>
      <c r="F39" s="1" t="s">
        <v>42</v>
      </c>
      <c r="G39" s="1"/>
      <c r="H39" s="1"/>
      <c r="I39" s="1"/>
      <c r="J39" s="1"/>
      <c r="K39" s="1"/>
      <c r="L39" s="1"/>
      <c r="M39" s="1"/>
    </row>
    <row r="40" spans="2:13" ht="22.95" customHeight="1" x14ac:dyDescent="0.3">
      <c r="B40" s="1" t="s">
        <v>43</v>
      </c>
      <c r="C40" s="36" t="str">
        <f>IF(Inputs!C48="","n.a.",IF(Inputs!E48="Entered",Inputs!C48*Inputs!C25/Model!K9-1,NA()))</f>
        <v>n.a.</v>
      </c>
      <c r="D40" s="1" t="s">
        <v>41</v>
      </c>
      <c r="E40" s="1"/>
      <c r="F40" s="1" t="s">
        <v>44</v>
      </c>
      <c r="G40" s="1"/>
      <c r="H40" s="1"/>
      <c r="I40" s="1"/>
      <c r="J40" s="1"/>
      <c r="K40" s="1"/>
      <c r="L40" s="1"/>
      <c r="M40" s="1"/>
    </row>
    <row r="41" spans="2:13" ht="22.95" customHeight="1" x14ac:dyDescent="0.3">
      <c r="B41" s="1" t="s">
        <v>45</v>
      </c>
      <c r="C41" s="37" t="str">
        <f>IF(Inputs!C44="","n.a.",IF(Inputs!E44="Entered",Inputs!C44-Mission!C19,NA()))</f>
        <v>n.a.</v>
      </c>
      <c r="D41" s="1" t="s">
        <v>33</v>
      </c>
      <c r="E41" s="1"/>
      <c r="F41" s="1" t="s">
        <v>46</v>
      </c>
      <c r="G41" s="1"/>
      <c r="H41" s="1"/>
      <c r="I41" s="1"/>
      <c r="J41" s="1"/>
      <c r="K41" s="1"/>
      <c r="L41" s="1"/>
      <c r="M41" s="1"/>
    </row>
    <row r="42" spans="2:13" ht="22.95" customHeight="1" x14ac:dyDescent="0.3">
      <c r="B42" s="1" t="s">
        <v>47</v>
      </c>
      <c r="C42" s="37" t="str">
        <f>IF(Inputs!C45="","n.a.",IF(Inputs!E45="Entered",Inputs!C45-Mission!I19/Inputs!C62,NA()))</f>
        <v>n.a.</v>
      </c>
      <c r="D42" s="1" t="s">
        <v>33</v>
      </c>
      <c r="E42" s="1"/>
      <c r="F42" s="1" t="s">
        <v>48</v>
      </c>
      <c r="G42" s="1"/>
      <c r="H42" s="1"/>
      <c r="I42" s="1"/>
      <c r="J42" s="1"/>
      <c r="K42" s="1"/>
      <c r="L42" s="1"/>
      <c r="M42" s="1"/>
    </row>
    <row r="43" spans="2:13" ht="22.95" customHeight="1" x14ac:dyDescent="0.3">
      <c r="B43" s="1" t="s">
        <v>49</v>
      </c>
      <c r="C43" s="37" t="str">
        <f>IF(Inputs!C46="","n.a.",IF(Inputs!E46="Entered",Inputs!C46-Mission!I19,NA()))</f>
        <v>n.a.</v>
      </c>
      <c r="D43" s="1" t="s">
        <v>15</v>
      </c>
      <c r="E43" s="1"/>
      <c r="F43" s="1" t="s">
        <v>50</v>
      </c>
      <c r="G43" s="1"/>
      <c r="H43" s="1"/>
      <c r="I43" s="1"/>
      <c r="J43" s="1"/>
      <c r="K43" s="1"/>
      <c r="L43" s="1"/>
      <c r="M43" s="1"/>
    </row>
    <row r="44" spans="2:13" ht="22.95" customHeight="1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 ht="22.95" customHeight="1" x14ac:dyDescent="0.3">
      <c r="B45" s="23" t="s">
        <v>51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 ht="22.95" customHeight="1" x14ac:dyDescent="0.3">
      <c r="B46" s="23" t="s">
        <v>52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 ht="22.95" customHeight="1" x14ac:dyDescent="0.3">
      <c r="B47" s="2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 ht="22.95" customHeight="1" x14ac:dyDescent="0.3">
      <c r="B48" s="38" t="s">
        <v>53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1"/>
    </row>
    <row r="49" spans="2:13" ht="22.95" customHeight="1" x14ac:dyDescent="0.3">
      <c r="B49" s="23" t="s">
        <v>54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 ht="22.95" customHeight="1" x14ac:dyDescent="0.3">
      <c r="B50" s="23" t="s">
        <v>55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 ht="22.95" customHeight="1" x14ac:dyDescent="0.3">
      <c r="B51" s="23" t="s">
        <v>56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 ht="22.95" customHeight="1" x14ac:dyDescent="0.3">
      <c r="B52" s="23" t="s">
        <v>57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 ht="22.95" customHeight="1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 ht="22.95" customHeight="1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</sheetData>
  <conditionalFormatting sqref="B2:M54">
    <cfRule type="containsErrors" dxfId="8" priority="9"/>
  </conditionalFormatting>
  <conditionalFormatting sqref="C16">
    <cfRule type="containsText" dxfId="7" priority="2" operator="containsText" text="below"/>
  </conditionalFormatting>
  <conditionalFormatting sqref="C25">
    <cfRule type="cellIs" dxfId="6" priority="1" operator="lessThan">
      <formula>0</formula>
    </cfRule>
  </conditionalFormatting>
  <conditionalFormatting sqref="C31">
    <cfRule type="containsText" dxfId="5" priority="3" operator="containsText" text="Exceeds"/>
  </conditionalFormatting>
  <conditionalFormatting sqref="C39:C43">
    <cfRule type="cellIs" dxfId="4" priority="4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3799B"/>
  </sheetPr>
  <dimension ref="B2:G79"/>
  <sheetViews>
    <sheetView showGridLines="0" workbookViewId="0">
      <pane ySplit="7" topLeftCell="A8" activePane="bottomLeft" state="frozen"/>
      <selection pane="bottomLeft"/>
    </sheetView>
  </sheetViews>
  <sheetFormatPr defaultRowHeight="14.4" x14ac:dyDescent="0.3"/>
  <cols>
    <col min="1" max="1" width="3" customWidth="1"/>
    <col min="2" max="2" width="38" customWidth="1"/>
    <col min="3" max="3" width="14" customWidth="1"/>
    <col min="4" max="4" width="16" customWidth="1"/>
    <col min="5" max="5" width="18" customWidth="1"/>
    <col min="6" max="6" width="3" customWidth="1"/>
    <col min="7" max="7" width="85" customWidth="1"/>
  </cols>
  <sheetData>
    <row r="2" spans="2:7" ht="30" customHeight="1" x14ac:dyDescent="0.3">
      <c r="B2" s="2" t="s">
        <v>58</v>
      </c>
      <c r="C2" s="1"/>
      <c r="D2" s="1"/>
      <c r="E2" s="1"/>
      <c r="F2" s="1"/>
      <c r="G2" s="1"/>
    </row>
    <row r="3" spans="2:7" ht="22.95" customHeight="1" x14ac:dyDescent="0.3">
      <c r="B3" s="3"/>
      <c r="C3" s="3"/>
      <c r="D3" s="3"/>
      <c r="E3" s="3"/>
      <c r="F3" s="3"/>
      <c r="G3" s="3"/>
    </row>
    <row r="4" spans="2:7" ht="22.95" customHeight="1" x14ac:dyDescent="0.3">
      <c r="B4" s="1" t="s">
        <v>59</v>
      </c>
      <c r="C4" s="1"/>
      <c r="D4" s="1"/>
      <c r="E4" s="1"/>
      <c r="F4" s="1"/>
      <c r="G4" s="1"/>
    </row>
    <row r="5" spans="2:7" ht="22.95" customHeight="1" x14ac:dyDescent="0.3">
      <c r="B5" s="1" t="s">
        <v>60</v>
      </c>
      <c r="C5" s="1"/>
      <c r="D5" s="1"/>
      <c r="E5" s="1"/>
      <c r="F5" s="1"/>
      <c r="G5" s="1"/>
    </row>
    <row r="6" spans="2:7" ht="22.95" customHeight="1" x14ac:dyDescent="0.3">
      <c r="B6" s="1"/>
      <c r="C6" s="1"/>
      <c r="D6" s="1"/>
      <c r="E6" s="1"/>
      <c r="F6" s="1"/>
      <c r="G6" s="1"/>
    </row>
    <row r="7" spans="2:7" ht="34.049999999999997" customHeight="1" x14ac:dyDescent="0.3">
      <c r="B7" s="4" t="s">
        <v>61</v>
      </c>
      <c r="C7" s="5" t="s">
        <v>62</v>
      </c>
      <c r="D7" s="5" t="s">
        <v>63</v>
      </c>
      <c r="E7" s="6" t="s">
        <v>64</v>
      </c>
      <c r="F7" s="1"/>
      <c r="G7" s="1" t="s">
        <v>65</v>
      </c>
    </row>
    <row r="8" spans="2:7" ht="22.95" customHeight="1" x14ac:dyDescent="0.3">
      <c r="B8" s="1" t="s">
        <v>66</v>
      </c>
      <c r="C8" s="11">
        <v>1</v>
      </c>
      <c r="D8" s="8">
        <v>200</v>
      </c>
      <c r="E8" s="9">
        <f t="shared" ref="E8:E19" si="0">IF(AND(COUNT(C8:D8)=2,C8&gt;=0,MOD(C8,1)=0,D8&gt;=0),C8*D8,NA())</f>
        <v>200</v>
      </c>
      <c r="F8" s="1"/>
      <c r="G8" s="1" t="s">
        <v>67</v>
      </c>
    </row>
    <row r="9" spans="2:7" ht="22.95" customHeight="1" x14ac:dyDescent="0.3">
      <c r="B9" s="1" t="s">
        <v>68</v>
      </c>
      <c r="C9" s="12">
        <f>$C$25</f>
        <v>4</v>
      </c>
      <c r="D9" s="8">
        <v>55</v>
      </c>
      <c r="E9" s="9">
        <f t="shared" si="0"/>
        <v>220</v>
      </c>
      <c r="F9" s="1"/>
      <c r="G9" s="1" t="s">
        <v>69</v>
      </c>
    </row>
    <row r="10" spans="2:7" ht="22.95" customHeight="1" x14ac:dyDescent="0.3">
      <c r="B10" s="1" t="s">
        <v>70</v>
      </c>
      <c r="C10" s="12">
        <f>$C$25</f>
        <v>4</v>
      </c>
      <c r="D10" s="8">
        <v>15</v>
      </c>
      <c r="E10" s="9">
        <f t="shared" si="0"/>
        <v>60</v>
      </c>
      <c r="F10" s="1"/>
      <c r="G10" s="1" t="s">
        <v>71</v>
      </c>
    </row>
    <row r="11" spans="2:7" ht="22.95" customHeight="1" x14ac:dyDescent="0.3">
      <c r="B11" s="1" t="s">
        <v>72</v>
      </c>
      <c r="C11" s="12">
        <f>$C$25</f>
        <v>4</v>
      </c>
      <c r="D11" s="8">
        <v>5</v>
      </c>
      <c r="E11" s="9">
        <f t="shared" si="0"/>
        <v>20</v>
      </c>
      <c r="F11" s="1"/>
      <c r="G11" s="1" t="s">
        <v>73</v>
      </c>
    </row>
    <row r="12" spans="2:7" ht="22.95" customHeight="1" x14ac:dyDescent="0.3">
      <c r="B12" s="1" t="s">
        <v>74</v>
      </c>
      <c r="C12" s="11">
        <v>1</v>
      </c>
      <c r="D12" s="8">
        <v>55</v>
      </c>
      <c r="E12" s="9">
        <f t="shared" si="0"/>
        <v>55</v>
      </c>
      <c r="F12" s="1"/>
      <c r="G12" s="1" t="s">
        <v>75</v>
      </c>
    </row>
    <row r="13" spans="2:7" ht="22.95" customHeight="1" x14ac:dyDescent="0.3">
      <c r="B13" s="1" t="s">
        <v>76</v>
      </c>
      <c r="C13" s="11">
        <v>1</v>
      </c>
      <c r="D13" s="8">
        <v>25</v>
      </c>
      <c r="E13" s="9">
        <f t="shared" si="0"/>
        <v>25</v>
      </c>
      <c r="F13" s="1"/>
      <c r="G13" s="1" t="s">
        <v>77</v>
      </c>
    </row>
    <row r="14" spans="2:7" ht="22.95" customHeight="1" x14ac:dyDescent="0.3">
      <c r="B14" s="1" t="s">
        <v>78</v>
      </c>
      <c r="C14" s="11">
        <v>1</v>
      </c>
      <c r="D14" s="8">
        <v>45</v>
      </c>
      <c r="E14" s="9">
        <f t="shared" si="0"/>
        <v>45</v>
      </c>
      <c r="F14" s="1"/>
      <c r="G14" s="1" t="s">
        <v>79</v>
      </c>
    </row>
    <row r="15" spans="2:7" ht="22.95" customHeight="1" x14ac:dyDescent="0.3">
      <c r="B15" s="1" t="s">
        <v>80</v>
      </c>
      <c r="C15" s="11">
        <v>1</v>
      </c>
      <c r="D15" s="8">
        <v>40</v>
      </c>
      <c r="E15" s="9">
        <f t="shared" si="0"/>
        <v>40</v>
      </c>
      <c r="F15" s="1"/>
      <c r="G15" s="1" t="s">
        <v>81</v>
      </c>
    </row>
    <row r="16" spans="2:7" ht="22.95" customHeight="1" x14ac:dyDescent="0.3">
      <c r="B16" s="1" t="s">
        <v>82</v>
      </c>
      <c r="C16" s="11">
        <v>1</v>
      </c>
      <c r="D16" s="8">
        <v>20</v>
      </c>
      <c r="E16" s="9">
        <f t="shared" si="0"/>
        <v>20</v>
      </c>
      <c r="F16" s="1"/>
      <c r="G16" s="1" t="s">
        <v>83</v>
      </c>
    </row>
    <row r="17" spans="2:7" ht="22.95" customHeight="1" x14ac:dyDescent="0.3">
      <c r="B17" s="1" t="s">
        <v>84</v>
      </c>
      <c r="C17" s="11">
        <v>1</v>
      </c>
      <c r="D17" s="8">
        <v>35</v>
      </c>
      <c r="E17" s="9">
        <f t="shared" si="0"/>
        <v>35</v>
      </c>
      <c r="F17" s="1"/>
      <c r="G17" s="1" t="s">
        <v>85</v>
      </c>
    </row>
    <row r="18" spans="2:7" ht="22.95" customHeight="1" x14ac:dyDescent="0.3">
      <c r="B18" s="1" t="s">
        <v>86</v>
      </c>
      <c r="C18" s="11">
        <v>1</v>
      </c>
      <c r="D18" s="8">
        <v>0</v>
      </c>
      <c r="E18" s="9">
        <f t="shared" si="0"/>
        <v>0</v>
      </c>
      <c r="F18" s="1"/>
      <c r="G18" s="1" t="s">
        <v>87</v>
      </c>
    </row>
    <row r="19" spans="2:7" ht="22.95" customHeight="1" x14ac:dyDescent="0.3">
      <c r="B19" s="1" t="s">
        <v>88</v>
      </c>
      <c r="C19" s="11">
        <v>1</v>
      </c>
      <c r="D19" s="8">
        <v>30</v>
      </c>
      <c r="E19" s="9">
        <f t="shared" si="0"/>
        <v>30</v>
      </c>
      <c r="F19" s="1"/>
      <c r="G19" s="1" t="s">
        <v>89</v>
      </c>
    </row>
    <row r="20" spans="2:7" ht="22.95" customHeight="1" x14ac:dyDescent="0.3">
      <c r="B20" s="1" t="s">
        <v>90</v>
      </c>
      <c r="C20" s="13">
        <v>1</v>
      </c>
      <c r="D20" s="9">
        <f>C54*1000</f>
        <v>416.25000000000006</v>
      </c>
      <c r="E20" s="9">
        <f>C20*D20</f>
        <v>416.25000000000006</v>
      </c>
      <c r="F20" s="1"/>
      <c r="G20" s="1" t="s">
        <v>91</v>
      </c>
    </row>
    <row r="21" spans="2:7" ht="22.95" customHeight="1" x14ac:dyDescent="0.3">
      <c r="B21" s="7" t="s">
        <v>92</v>
      </c>
      <c r="C21" s="7"/>
      <c r="D21" s="10"/>
      <c r="E21" s="10">
        <f>SUM(E8:E20)</f>
        <v>1166.25</v>
      </c>
      <c r="F21" s="1"/>
      <c r="G21" s="1"/>
    </row>
    <row r="22" spans="2:7" ht="22.95" customHeight="1" x14ac:dyDescent="0.3">
      <c r="B22" s="1"/>
      <c r="C22" s="1"/>
      <c r="D22" s="1"/>
      <c r="E22" s="1"/>
      <c r="F22" s="1"/>
      <c r="G22" s="1"/>
    </row>
    <row r="23" spans="2:7" ht="22.95" customHeight="1" x14ac:dyDescent="0.3">
      <c r="B23" s="1"/>
      <c r="C23" s="1"/>
      <c r="D23" s="1"/>
      <c r="E23" s="1"/>
      <c r="F23" s="1"/>
      <c r="G23" s="1"/>
    </row>
    <row r="24" spans="2:7" ht="22.95" customHeight="1" x14ac:dyDescent="0.3">
      <c r="B24" s="7" t="s">
        <v>93</v>
      </c>
      <c r="C24" s="7"/>
      <c r="D24" s="7"/>
      <c r="E24" s="7"/>
      <c r="F24" s="1"/>
      <c r="G24" s="1"/>
    </row>
    <row r="25" spans="2:7" ht="22.95" customHeight="1" x14ac:dyDescent="0.3">
      <c r="B25" s="1" t="s">
        <v>94</v>
      </c>
      <c r="C25" s="17">
        <v>4</v>
      </c>
      <c r="D25" s="1" t="s">
        <v>95</v>
      </c>
      <c r="E25" s="1" t="str">
        <f>IF(AND(ISNUMBER(C25),C25&gt;=1,C25&lt;=16),IF(MOD(C25,1)=0,"OK","Check input"),"Check input")</f>
        <v>OK</v>
      </c>
      <c r="F25" s="1"/>
      <c r="G25" s="1" t="s">
        <v>96</v>
      </c>
    </row>
    <row r="26" spans="2:7" ht="22.95" customHeight="1" x14ac:dyDescent="0.3">
      <c r="B26" s="1" t="s">
        <v>97</v>
      </c>
      <c r="C26" s="14">
        <v>5</v>
      </c>
      <c r="D26" s="1" t="s">
        <v>98</v>
      </c>
      <c r="E26" s="1" t="str">
        <f>IF(AND(ISNUMBER(C26),C26&gt;=0.1,C26&lt;=100),"OK","Check input")</f>
        <v>OK</v>
      </c>
      <c r="F26" s="1"/>
      <c r="G26" s="1" t="s">
        <v>99</v>
      </c>
    </row>
    <row r="27" spans="2:7" ht="22.95" customHeight="1" x14ac:dyDescent="0.3">
      <c r="B27" s="1" t="s">
        <v>100</v>
      </c>
      <c r="C27" s="20">
        <v>1.2250000000000001</v>
      </c>
      <c r="D27" s="1" t="s">
        <v>101</v>
      </c>
      <c r="E27" s="1" t="str">
        <f>IF(AND(ISNUMBER(C27),C27&gt;=0.1,C27&lt;=2),"OK","Check input")</f>
        <v>OK</v>
      </c>
      <c r="F27" s="1"/>
      <c r="G27" s="1" t="s">
        <v>102</v>
      </c>
    </row>
    <row r="28" spans="2:7" ht="22.95" customHeight="1" x14ac:dyDescent="0.3">
      <c r="B28" s="1" t="s">
        <v>103</v>
      </c>
      <c r="C28" s="14">
        <v>0.8</v>
      </c>
      <c r="D28" s="1" t="s">
        <v>104</v>
      </c>
      <c r="E28" s="1" t="str">
        <f>IF(AND(ISNUMBER(C28),C28&gt;=0,C28&lt;=10),"OK","Check input")</f>
        <v>OK</v>
      </c>
      <c r="F28" s="1"/>
      <c r="G28" s="1" t="s">
        <v>105</v>
      </c>
    </row>
    <row r="29" spans="2:7" ht="22.95" customHeight="1" x14ac:dyDescent="0.3">
      <c r="B29" s="1" t="s">
        <v>106</v>
      </c>
      <c r="C29" s="19">
        <v>8.0000000000000002E-3</v>
      </c>
      <c r="D29" s="1" t="s">
        <v>107</v>
      </c>
      <c r="E29" s="1" t="str">
        <f>IF(AND(ISNUMBER(C29),C29&gt;=0,C29&lt;=10),"OK","Check input")</f>
        <v>OK</v>
      </c>
      <c r="F29" s="1"/>
      <c r="G29" s="1" t="s">
        <v>108</v>
      </c>
    </row>
    <row r="30" spans="2:7" ht="22.95" customHeight="1" x14ac:dyDescent="0.3">
      <c r="B30" s="1" t="s">
        <v>109</v>
      </c>
      <c r="C30" s="18">
        <v>0.65</v>
      </c>
      <c r="D30" s="1" t="s">
        <v>110</v>
      </c>
      <c r="E30" s="1" t="str">
        <f>IF(AND(ISNUMBER(C30),C30&gt;=0.01,C30&lt;=1),"OK","Check input")</f>
        <v>OK</v>
      </c>
      <c r="F30" s="1"/>
      <c r="G30" s="1" t="s">
        <v>111</v>
      </c>
    </row>
    <row r="31" spans="2:7" ht="22.95" customHeight="1" x14ac:dyDescent="0.3">
      <c r="B31" s="1" t="s">
        <v>112</v>
      </c>
      <c r="C31" s="18">
        <v>0.9</v>
      </c>
      <c r="D31" s="1" t="s">
        <v>110</v>
      </c>
      <c r="E31" s="1" t="str">
        <f>IF(AND(ISNUMBER(C31),C31&gt;=0.01,C31&lt;=1),"OK","Check input")</f>
        <v>OK</v>
      </c>
      <c r="F31" s="1"/>
      <c r="G31" s="1" t="s">
        <v>113</v>
      </c>
    </row>
    <row r="32" spans="2:7" ht="22.95" customHeight="1" x14ac:dyDescent="0.3">
      <c r="B32" s="1" t="s">
        <v>114</v>
      </c>
      <c r="C32" s="14">
        <v>18</v>
      </c>
      <c r="D32" s="1" t="s">
        <v>15</v>
      </c>
      <c r="E32" s="1" t="str">
        <f>IF(AND(ISNUMBER(C32),C32&gt;=0,C32&lt;=10000),"OK","Check input")</f>
        <v>OK</v>
      </c>
      <c r="F32" s="1"/>
      <c r="G32" s="1" t="s">
        <v>115</v>
      </c>
    </row>
    <row r="33" spans="2:7" ht="22.95" customHeight="1" x14ac:dyDescent="0.3">
      <c r="B33" s="1" t="s">
        <v>17</v>
      </c>
      <c r="C33" s="17">
        <v>300</v>
      </c>
      <c r="D33" s="1" t="s">
        <v>18</v>
      </c>
      <c r="E33" s="1" t="str">
        <f>IF(AND(ISNUMBER(C33),C33&gt;=0,C33&lt;=1000),"OK","Check input")</f>
        <v>OK</v>
      </c>
      <c r="F33" s="1"/>
      <c r="G33" s="1" t="s">
        <v>116</v>
      </c>
    </row>
    <row r="34" spans="2:7" ht="22.95" customHeight="1" x14ac:dyDescent="0.3">
      <c r="B34" s="1" t="s">
        <v>117</v>
      </c>
      <c r="C34" s="14">
        <v>1.2</v>
      </c>
      <c r="D34" s="1" t="s">
        <v>118</v>
      </c>
      <c r="E34" s="1" t="str">
        <f>IF(AND(ISNUMBER(C34),C34&gt;=0.1,C34&lt;=5),"OK","Check input")</f>
        <v>OK</v>
      </c>
      <c r="F34" s="1"/>
      <c r="G34" s="1" t="s">
        <v>119</v>
      </c>
    </row>
    <row r="35" spans="2:7" ht="22.95" customHeight="1" x14ac:dyDescent="0.3">
      <c r="B35" s="1"/>
      <c r="C35" s="15"/>
      <c r="D35" s="1"/>
      <c r="E35" s="1"/>
      <c r="F35" s="1"/>
      <c r="G35" s="1"/>
    </row>
    <row r="36" spans="2:7" ht="22.95" customHeight="1" x14ac:dyDescent="0.3">
      <c r="B36" s="7" t="s">
        <v>120</v>
      </c>
      <c r="C36" s="16"/>
      <c r="D36" s="7"/>
      <c r="E36" s="7"/>
      <c r="F36" s="1"/>
      <c r="G36" s="1"/>
    </row>
    <row r="37" spans="2:7" ht="22.95" customHeight="1" x14ac:dyDescent="0.3">
      <c r="B37" s="1" t="s">
        <v>121</v>
      </c>
      <c r="C37" s="17">
        <v>6</v>
      </c>
      <c r="D37" s="1" t="s">
        <v>122</v>
      </c>
      <c r="E37" s="1" t="str">
        <f>IF(AND(ISNUMBER(C37),C37&gt;=1,C37&lt;=100),IF(MOD(C37,1)=0,"OK","Check input"),"Check input")</f>
        <v>OK</v>
      </c>
      <c r="F37" s="1"/>
      <c r="G37" s="1" t="s">
        <v>123</v>
      </c>
    </row>
    <row r="38" spans="2:7" ht="22.95" customHeight="1" x14ac:dyDescent="0.3">
      <c r="B38" s="1" t="s">
        <v>124</v>
      </c>
      <c r="C38" s="14">
        <v>3.7</v>
      </c>
      <c r="D38" s="1" t="s">
        <v>125</v>
      </c>
      <c r="E38" s="1" t="str">
        <f>IF(AND(ISNUMBER(C38),C38&gt;=0.1,C38&lt;=10),"OK","Check input")</f>
        <v>OK</v>
      </c>
      <c r="F38" s="1"/>
      <c r="G38" s="1" t="s">
        <v>126</v>
      </c>
    </row>
    <row r="39" spans="2:7" ht="22.95" customHeight="1" x14ac:dyDescent="0.3">
      <c r="B39" s="1" t="s">
        <v>127</v>
      </c>
      <c r="C39" s="17">
        <v>3000</v>
      </c>
      <c r="D39" s="1" t="s">
        <v>128</v>
      </c>
      <c r="E39" s="1" t="str">
        <f>IF(AND(ISNUMBER(C39),C39&gt;=1,C39&lt;=1000000),"OK","Check input")</f>
        <v>OK</v>
      </c>
      <c r="F39" s="1"/>
      <c r="G39" s="1" t="s">
        <v>129</v>
      </c>
    </row>
    <row r="40" spans="2:7" ht="22.95" customHeight="1" x14ac:dyDescent="0.3">
      <c r="B40" s="1" t="s">
        <v>130</v>
      </c>
      <c r="C40" s="17">
        <v>160</v>
      </c>
      <c r="D40" s="1" t="s">
        <v>131</v>
      </c>
      <c r="E40" s="1" t="str">
        <f>IF(AND(ISNUMBER(C40),C40&gt;=1,C40&lt;=1000),"OK","Check input")</f>
        <v>OK</v>
      </c>
      <c r="F40" s="1"/>
      <c r="G40" s="1" t="s">
        <v>132</v>
      </c>
    </row>
    <row r="41" spans="2:7" ht="22.95" customHeight="1" x14ac:dyDescent="0.3">
      <c r="B41" s="1" t="s">
        <v>133</v>
      </c>
      <c r="C41" s="18">
        <v>0.8</v>
      </c>
      <c r="D41" s="1" t="s">
        <v>110</v>
      </c>
      <c r="E41" s="1" t="str">
        <f>IF(AND(ISNUMBER(C41),C41&gt;=0.01,C41&lt;=1),"OK","Check input")</f>
        <v>OK</v>
      </c>
      <c r="F41" s="1"/>
      <c r="G41" s="1" t="s">
        <v>134</v>
      </c>
    </row>
    <row r="42" spans="2:7" ht="22.95" customHeight="1" x14ac:dyDescent="0.3">
      <c r="B42" s="1" t="s">
        <v>135</v>
      </c>
      <c r="C42" s="18">
        <v>0.2</v>
      </c>
      <c r="D42" s="1" t="s">
        <v>110</v>
      </c>
      <c r="E42" s="1" t="str">
        <f>IF(AND(ISNUMBER(C42),C42&gt;=0,C42&lt;=0.99),"OK","Check input")</f>
        <v>OK</v>
      </c>
      <c r="F42" s="1"/>
      <c r="G42" s="1" t="s">
        <v>136</v>
      </c>
    </row>
    <row r="43" spans="2:7" ht="22.95" customHeight="1" x14ac:dyDescent="0.3">
      <c r="B43" s="1" t="s">
        <v>137</v>
      </c>
      <c r="C43" s="14">
        <v>3.5</v>
      </c>
      <c r="D43" s="1" t="s">
        <v>125</v>
      </c>
      <c r="E43" s="1" t="str">
        <f>IF(AND(ISNUMBER(C43),C43&gt;=0.1,C43&lt;=10),"OK","Check input")</f>
        <v>OK</v>
      </c>
      <c r="F43" s="1"/>
      <c r="G43" s="1" t="s">
        <v>138</v>
      </c>
    </row>
    <row r="44" spans="2:7" ht="33" customHeight="1" x14ac:dyDescent="0.3">
      <c r="B44" s="21" t="s">
        <v>139</v>
      </c>
      <c r="C44" s="8"/>
      <c r="D44" s="1" t="s">
        <v>33</v>
      </c>
      <c r="E44" s="1" t="str">
        <f>IF(C44="","No data",IF(AND(ISNUMBER(C44),C44&gt;=0,C44&lt;=1000000000),"Entered","Check input"))</f>
        <v>No data</v>
      </c>
      <c r="F44" s="1"/>
      <c r="G44" s="1" t="s">
        <v>140</v>
      </c>
    </row>
    <row r="45" spans="2:7" ht="33" customHeight="1" x14ac:dyDescent="0.3">
      <c r="B45" s="21" t="s">
        <v>141</v>
      </c>
      <c r="C45" s="8"/>
      <c r="D45" s="1" t="s">
        <v>33</v>
      </c>
      <c r="E45" s="1" t="str">
        <f>IF(C45="","No data",IF(AND(ISNUMBER(C45),C45&gt;=0,C45&lt;=1000000000),"Entered","Check input"))</f>
        <v>No data</v>
      </c>
      <c r="F45" s="1"/>
      <c r="G45" s="1" t="s">
        <v>142</v>
      </c>
    </row>
    <row r="46" spans="2:7" ht="33" customHeight="1" x14ac:dyDescent="0.3">
      <c r="B46" s="21" t="s">
        <v>143</v>
      </c>
      <c r="C46" s="8"/>
      <c r="D46" s="1" t="s">
        <v>15</v>
      </c>
      <c r="E46" s="1" t="str">
        <f>IF(C46="","No data",IF(AND(ISNUMBER(C46),C46&gt;=0,C46&lt;=1000000000),"Entered","Check input"))</f>
        <v>No data</v>
      </c>
      <c r="F46" s="1"/>
      <c r="G46" s="1" t="s">
        <v>144</v>
      </c>
    </row>
    <row r="47" spans="2:7" ht="33" customHeight="1" x14ac:dyDescent="0.3">
      <c r="B47" s="21" t="s">
        <v>145</v>
      </c>
      <c r="C47" s="8"/>
      <c r="D47" s="1" t="s">
        <v>9</v>
      </c>
      <c r="E47" s="1" t="str">
        <f>IF(C47="","No data",IF(AND(ISNUMBER(C47),C47&gt;=0,C47&lt;=1000000000),"Entered","Check input"))</f>
        <v>No data</v>
      </c>
      <c r="F47" s="1"/>
      <c r="G47" s="1" t="s">
        <v>146</v>
      </c>
    </row>
    <row r="48" spans="2:7" ht="33" customHeight="1" x14ac:dyDescent="0.3">
      <c r="B48" s="21" t="s">
        <v>147</v>
      </c>
      <c r="C48" s="8"/>
      <c r="D48" s="1" t="s">
        <v>9</v>
      </c>
      <c r="E48" s="1" t="str">
        <f>IF(C48="","No data",IF(AND(ISNUMBER(C48),C48&gt;=0,C48&lt;=1000000000),"Entered","Check input"))</f>
        <v>No data</v>
      </c>
      <c r="F48" s="1"/>
      <c r="G48" s="1" t="s">
        <v>148</v>
      </c>
    </row>
    <row r="49" spans="2:7" ht="22.95" customHeight="1" x14ac:dyDescent="0.3">
      <c r="B49" s="1"/>
      <c r="C49" s="1"/>
      <c r="D49" s="1"/>
      <c r="E49" s="1"/>
      <c r="F49" s="1"/>
      <c r="G49" s="1"/>
    </row>
    <row r="50" spans="2:7" ht="22.95" customHeight="1" x14ac:dyDescent="0.3">
      <c r="B50" s="1"/>
      <c r="C50" s="1"/>
      <c r="D50" s="1"/>
      <c r="E50" s="1"/>
      <c r="F50" s="1"/>
      <c r="G50" s="1"/>
    </row>
    <row r="51" spans="2:7" ht="22.95" customHeight="1" x14ac:dyDescent="0.3">
      <c r="B51" s="7" t="s">
        <v>149</v>
      </c>
      <c r="C51" s="7"/>
      <c r="D51" s="7"/>
      <c r="E51" s="7"/>
      <c r="F51" s="1"/>
      <c r="G51" s="1"/>
    </row>
    <row r="52" spans="2:7" ht="22.95" customHeight="1" x14ac:dyDescent="0.3">
      <c r="B52" s="1" t="s">
        <v>150</v>
      </c>
      <c r="C52" s="22">
        <f>SUM(E8:E19)/1000</f>
        <v>0.75</v>
      </c>
      <c r="D52" s="1" t="s">
        <v>7</v>
      </c>
      <c r="E52" s="1"/>
      <c r="F52" s="1"/>
      <c r="G52" s="1"/>
    </row>
    <row r="53" spans="2:7" ht="22.95" customHeight="1" x14ac:dyDescent="0.3">
      <c r="B53" s="1" t="s">
        <v>21</v>
      </c>
      <c r="C53" s="9">
        <f>IF(AND(E37="OK",E38="OK",E39="OK"),C37*C38*C39/1000,NA())</f>
        <v>66.600000000000009</v>
      </c>
      <c r="D53" s="1" t="s">
        <v>22</v>
      </c>
      <c r="E53" s="1"/>
      <c r="F53" s="1"/>
      <c r="G53" s="1"/>
    </row>
    <row r="54" spans="2:7" ht="22.95" customHeight="1" x14ac:dyDescent="0.3">
      <c r="B54" s="1" t="s">
        <v>151</v>
      </c>
      <c r="C54" s="22">
        <f>IF(E40="OK",C53/C40,NA())</f>
        <v>0.41625000000000006</v>
      </c>
      <c r="D54" s="1" t="s">
        <v>7</v>
      </c>
      <c r="E54" s="1"/>
      <c r="F54" s="1"/>
      <c r="G54" s="1"/>
    </row>
    <row r="55" spans="2:7" ht="22.95" customHeight="1" x14ac:dyDescent="0.3">
      <c r="B55" s="1" t="s">
        <v>6</v>
      </c>
      <c r="C55" s="22">
        <f>E21/1000</f>
        <v>1.16625</v>
      </c>
      <c r="D55" s="1" t="s">
        <v>7</v>
      </c>
      <c r="E55" s="1"/>
      <c r="F55" s="1"/>
      <c r="G55" s="1"/>
    </row>
    <row r="56" spans="2:7" ht="22.95" customHeight="1" x14ac:dyDescent="0.3">
      <c r="B56" s="1" t="s">
        <v>152</v>
      </c>
      <c r="C56" s="9">
        <f>C55*9.80665</f>
        <v>11.4370055625</v>
      </c>
      <c r="D56" s="1" t="s">
        <v>9</v>
      </c>
      <c r="E56" s="1"/>
      <c r="F56" s="1"/>
      <c r="G56" s="1"/>
    </row>
    <row r="57" spans="2:7" ht="22.95" customHeight="1" x14ac:dyDescent="0.3">
      <c r="B57" s="1" t="s">
        <v>153</v>
      </c>
      <c r="C57" s="22">
        <f>IF(AND(E25="OK",E26="OK"),C25*PI()*(C26*0.0254)^2/4,NA())</f>
        <v>5.0670747909749778E-2</v>
      </c>
      <c r="D57" s="1" t="s">
        <v>107</v>
      </c>
      <c r="E57" s="1"/>
      <c r="F57" s="1"/>
      <c r="G57" s="1"/>
    </row>
    <row r="58" spans="2:7" ht="22.95" customHeight="1" x14ac:dyDescent="0.3">
      <c r="B58" s="1" t="s">
        <v>154</v>
      </c>
      <c r="C58" s="22">
        <f>IF(AND(E28="OK",E29="OK"),C28*C29,NA())</f>
        <v>6.4000000000000003E-3</v>
      </c>
      <c r="D58" s="1" t="s">
        <v>107</v>
      </c>
      <c r="E58" s="1"/>
      <c r="F58" s="1"/>
      <c r="G58" s="1"/>
    </row>
    <row r="59" spans="2:7" ht="22.95" customHeight="1" x14ac:dyDescent="0.3">
      <c r="B59" s="1" t="s">
        <v>23</v>
      </c>
      <c r="C59" s="9">
        <f>IF(E41="OK",C53*C41,NA())</f>
        <v>53.280000000000008</v>
      </c>
      <c r="D59" s="1" t="s">
        <v>22</v>
      </c>
      <c r="E59" s="1"/>
      <c r="F59" s="1"/>
      <c r="G59" s="1"/>
    </row>
    <row r="60" spans="2:7" ht="22.95" customHeight="1" x14ac:dyDescent="0.3">
      <c r="B60" s="1" t="s">
        <v>155</v>
      </c>
      <c r="C60" s="9">
        <f>IF(E42="OK",C59*C42,NA())</f>
        <v>10.656000000000002</v>
      </c>
      <c r="D60" s="1" t="s">
        <v>22</v>
      </c>
      <c r="E60" s="1"/>
      <c r="F60" s="1"/>
      <c r="G60" s="1"/>
    </row>
    <row r="61" spans="2:7" ht="22.95" customHeight="1" x14ac:dyDescent="0.3">
      <c r="B61" s="1" t="s">
        <v>156</v>
      </c>
      <c r="C61" s="9">
        <f>C59-C60</f>
        <v>42.624000000000009</v>
      </c>
      <c r="D61" s="1" t="s">
        <v>22</v>
      </c>
      <c r="E61" s="1"/>
      <c r="F61" s="1"/>
      <c r="G61" s="1"/>
    </row>
    <row r="62" spans="2:7" ht="22.95" customHeight="1" x14ac:dyDescent="0.3">
      <c r="B62" s="1" t="s">
        <v>157</v>
      </c>
      <c r="C62" s="9">
        <f>IF(AND(E37="OK",E43="OK"),C37*C43,NA())</f>
        <v>21</v>
      </c>
      <c r="D62" s="1" t="s">
        <v>125</v>
      </c>
      <c r="E62" s="1"/>
      <c r="F62" s="1"/>
      <c r="G62" s="1"/>
    </row>
    <row r="63" spans="2:7" ht="22.95" customHeight="1" x14ac:dyDescent="0.3">
      <c r="B63" s="1"/>
      <c r="C63" s="1"/>
      <c r="D63" s="1"/>
      <c r="E63" s="1"/>
      <c r="F63" s="1"/>
      <c r="G63" s="1"/>
    </row>
    <row r="64" spans="2:7" ht="22.95" customHeight="1" x14ac:dyDescent="0.3">
      <c r="B64" s="1"/>
      <c r="C64" s="1"/>
      <c r="D64" s="1"/>
      <c r="E64" s="1"/>
      <c r="F64" s="1"/>
      <c r="G64" s="1"/>
    </row>
    <row r="65" spans="2:7" ht="22.95" customHeight="1" x14ac:dyDescent="0.3">
      <c r="B65" s="7" t="s">
        <v>158</v>
      </c>
      <c r="C65" s="7"/>
      <c r="D65" s="7"/>
      <c r="E65" s="7"/>
      <c r="F65" s="7"/>
      <c r="G65" s="7"/>
    </row>
    <row r="66" spans="2:7" ht="22.95" customHeight="1" x14ac:dyDescent="0.3">
      <c r="B66" s="23" t="s">
        <v>159</v>
      </c>
      <c r="C66" s="1"/>
      <c r="D66" s="1"/>
      <c r="E66" s="1"/>
      <c r="F66" s="1"/>
      <c r="G66" s="1"/>
    </row>
    <row r="67" spans="2:7" ht="22.95" customHeight="1" x14ac:dyDescent="0.3">
      <c r="B67" s="23" t="s">
        <v>160</v>
      </c>
      <c r="C67" s="1"/>
      <c r="D67" s="1"/>
      <c r="E67" s="1"/>
      <c r="F67" s="1"/>
      <c r="G67" s="1"/>
    </row>
    <row r="68" spans="2:7" ht="22.95" customHeight="1" x14ac:dyDescent="0.3">
      <c r="B68" s="23" t="s">
        <v>161</v>
      </c>
      <c r="C68" s="1"/>
      <c r="D68" s="1"/>
      <c r="E68" s="1"/>
      <c r="F68" s="1"/>
      <c r="G68" s="1"/>
    </row>
    <row r="69" spans="2:7" ht="22.95" customHeight="1" x14ac:dyDescent="0.3">
      <c r="B69" s="23" t="s">
        <v>162</v>
      </c>
      <c r="C69" s="1"/>
      <c r="D69" s="1"/>
      <c r="E69" s="1"/>
      <c r="F69" s="1"/>
      <c r="G69" s="1"/>
    </row>
    <row r="70" spans="2:7" ht="22.95" customHeight="1" x14ac:dyDescent="0.3">
      <c r="B70" s="23" t="s">
        <v>163</v>
      </c>
      <c r="C70" s="1"/>
      <c r="D70" s="1"/>
      <c r="E70" s="1"/>
      <c r="F70" s="1"/>
      <c r="G70" s="1"/>
    </row>
    <row r="71" spans="2:7" ht="22.95" customHeight="1" x14ac:dyDescent="0.3">
      <c r="B71" s="23" t="s">
        <v>164</v>
      </c>
      <c r="C71" s="1"/>
      <c r="D71" s="1"/>
      <c r="E71" s="1"/>
      <c r="F71" s="1"/>
      <c r="G71" s="1"/>
    </row>
    <row r="72" spans="2:7" ht="22.95" customHeight="1" x14ac:dyDescent="0.3">
      <c r="B72" s="23" t="s">
        <v>165</v>
      </c>
      <c r="C72" s="1"/>
      <c r="D72" s="1"/>
      <c r="E72" s="1"/>
      <c r="F72" s="1"/>
      <c r="G72" s="1"/>
    </row>
    <row r="73" spans="2:7" ht="22.95" customHeight="1" x14ac:dyDescent="0.3">
      <c r="B73" s="23" t="s">
        <v>166</v>
      </c>
      <c r="C73" s="1"/>
      <c r="D73" s="1"/>
      <c r="E73" s="1"/>
      <c r="F73" s="1"/>
      <c r="G73" s="1"/>
    </row>
    <row r="74" spans="2:7" ht="22.95" customHeight="1" x14ac:dyDescent="0.3">
      <c r="B74" s="23" t="s">
        <v>167</v>
      </c>
      <c r="C74" s="1"/>
      <c r="D74" s="1"/>
      <c r="E74" s="1"/>
      <c r="F74" s="1"/>
      <c r="G74" s="1"/>
    </row>
    <row r="75" spans="2:7" ht="22.95" customHeight="1" x14ac:dyDescent="0.3">
      <c r="B75" s="23" t="s">
        <v>168</v>
      </c>
      <c r="C75" s="1"/>
      <c r="D75" s="1"/>
      <c r="E75" s="1"/>
      <c r="F75" s="1"/>
      <c r="G75" s="1"/>
    </row>
    <row r="76" spans="2:7" ht="22.95" customHeight="1" x14ac:dyDescent="0.3">
      <c r="B76" s="23" t="s">
        <v>169</v>
      </c>
      <c r="C76" s="1"/>
      <c r="D76" s="1"/>
      <c r="E76" s="1"/>
      <c r="F76" s="1"/>
      <c r="G76" s="1"/>
    </row>
    <row r="77" spans="2:7" ht="22.95" customHeight="1" x14ac:dyDescent="0.3">
      <c r="B77" s="23" t="s">
        <v>170</v>
      </c>
      <c r="C77" s="1"/>
      <c r="D77" s="1"/>
      <c r="E77" s="1"/>
      <c r="F77" s="1"/>
      <c r="G77" s="1"/>
    </row>
    <row r="78" spans="2:7" ht="22.95" customHeight="1" x14ac:dyDescent="0.3">
      <c r="B78" s="23" t="s">
        <v>171</v>
      </c>
      <c r="C78" s="1"/>
      <c r="D78" s="1"/>
      <c r="E78" s="1"/>
      <c r="F78" s="1"/>
      <c r="G78" s="1"/>
    </row>
    <row r="79" spans="2:7" ht="22.95" customHeight="1" x14ac:dyDescent="0.3">
      <c r="B79" s="1"/>
      <c r="C79" s="1"/>
      <c r="D79" s="1"/>
      <c r="E79" s="1"/>
      <c r="F79" s="1"/>
      <c r="G79" s="1"/>
    </row>
  </sheetData>
  <conditionalFormatting sqref="B2:G79">
    <cfRule type="containsErrors" dxfId="3" priority="2"/>
  </conditionalFormatting>
  <conditionalFormatting sqref="E25:E48">
    <cfRule type="containsText" dxfId="2" priority="1" operator="containsText" text="Check input"/>
  </conditionalFormatting>
  <dataValidations count="16">
    <dataValidation type="whole" sqref="C8:C19" xr:uid="{00000000-0002-0000-0100-000000000000}">
      <formula1>0</formula1>
      <formula2>1000</formula2>
    </dataValidation>
    <dataValidation type="decimal" sqref="D8:D19" xr:uid="{00000000-0002-0000-0100-000001000000}">
      <formula1>0</formula1>
      <formula2>100000</formula2>
    </dataValidation>
    <dataValidation type="whole" sqref="C25" xr:uid="{00000000-0002-0000-0100-000002000000}">
      <formula1>1</formula1>
      <formula2>16</formula2>
    </dataValidation>
    <dataValidation type="decimal" sqref="C26" xr:uid="{00000000-0002-0000-0100-000003000000}">
      <formula1>0.1</formula1>
      <formula2>100</formula2>
    </dataValidation>
    <dataValidation type="decimal" sqref="C27" xr:uid="{00000000-0002-0000-0100-000004000000}">
      <formula1>0.1</formula1>
      <formula2>2</formula2>
    </dataValidation>
    <dataValidation type="decimal" sqref="C28:C29" xr:uid="{00000000-0002-0000-0100-000005000000}">
      <formula1>0</formula1>
      <formula2>10</formula2>
    </dataValidation>
    <dataValidation type="decimal" sqref="C41 C30:C31" xr:uid="{00000000-0002-0000-0100-000007000000}">
      <formula1>0.01</formula1>
      <formula2>1</formula2>
    </dataValidation>
    <dataValidation type="decimal" sqref="C32" xr:uid="{00000000-0002-0000-0100-000009000000}">
      <formula1>0</formula1>
      <formula2>10000</formula2>
    </dataValidation>
    <dataValidation type="decimal" sqref="C33" xr:uid="{00000000-0002-0000-0100-00000A000000}">
      <formula1>0</formula1>
      <formula2>1000</formula2>
    </dataValidation>
    <dataValidation type="decimal" sqref="C34" xr:uid="{00000000-0002-0000-0100-00000B000000}">
      <formula1>0.1</formula1>
      <formula2>5</formula2>
    </dataValidation>
    <dataValidation type="whole" sqref="C37" xr:uid="{00000000-0002-0000-0100-00000C000000}">
      <formula1>1</formula1>
      <formula2>100</formula2>
    </dataValidation>
    <dataValidation type="decimal" sqref="C38 C43" xr:uid="{00000000-0002-0000-0100-00000D000000}">
      <formula1>0.1</formula1>
      <formula2>10</formula2>
    </dataValidation>
    <dataValidation type="decimal" sqref="C39" xr:uid="{00000000-0002-0000-0100-00000E000000}">
      <formula1>1</formula1>
      <formula2>1000000</formula2>
    </dataValidation>
    <dataValidation type="decimal" sqref="C40" xr:uid="{00000000-0002-0000-0100-00000F000000}">
      <formula1>1</formula1>
      <formula2>1000</formula2>
    </dataValidation>
    <dataValidation type="decimal" sqref="C42" xr:uid="{00000000-0002-0000-0100-000011000000}">
      <formula1>0</formula1>
      <formula2>0.99</formula2>
    </dataValidation>
    <dataValidation type="decimal" sqref="C44:C48" xr:uid="{00000000-0002-0000-0100-000013000000}">
      <formula1>0</formula1>
      <formula2>10000000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33"/>
  <sheetViews>
    <sheetView showGridLines="0" workbookViewId="0">
      <pane ySplit="7" topLeftCell="A8" activePane="bottomLeft" state="frozen"/>
      <selection pane="bottomLeft"/>
    </sheetView>
  </sheetViews>
  <sheetFormatPr defaultRowHeight="14.4" x14ac:dyDescent="0.3"/>
  <cols>
    <col min="1" max="1" width="3" customWidth="1"/>
    <col min="2" max="2" width="27" customWidth="1"/>
    <col min="3" max="3" width="12" customWidth="1"/>
    <col min="4" max="5" width="14" customWidth="1"/>
    <col min="6" max="7" width="13" customWidth="1"/>
    <col min="8" max="8" width="14" customWidth="1"/>
    <col min="9" max="9" width="16" customWidth="1"/>
    <col min="10" max="10" width="14" customWidth="1"/>
    <col min="11" max="11" width="17" customWidth="1"/>
    <col min="12" max="12" width="3" customWidth="1"/>
    <col min="13" max="13" width="64" customWidth="1"/>
    <col min="14" max="14" width="3" customWidth="1"/>
  </cols>
  <sheetData>
    <row r="2" spans="2:14" ht="30" customHeight="1" x14ac:dyDescent="0.3">
      <c r="B2" s="2" t="s">
        <v>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22.95" customHeight="1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</row>
    <row r="4" spans="2:14" ht="22.95" customHeight="1" x14ac:dyDescent="0.3">
      <c r="B4" s="1" t="s">
        <v>172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22.95" customHeight="1" x14ac:dyDescent="0.3">
      <c r="B5" s="1" t="s">
        <v>173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 ht="22.95" customHeigh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 ht="52.05" customHeight="1" x14ac:dyDescent="0.3">
      <c r="B7" s="4" t="s">
        <v>174</v>
      </c>
      <c r="C7" s="5" t="s">
        <v>175</v>
      </c>
      <c r="D7" s="5" t="s">
        <v>176</v>
      </c>
      <c r="E7" s="5" t="s">
        <v>177</v>
      </c>
      <c r="F7" s="5" t="s">
        <v>178</v>
      </c>
      <c r="G7" s="5" t="s">
        <v>179</v>
      </c>
      <c r="H7" s="5" t="s">
        <v>180</v>
      </c>
      <c r="I7" s="5" t="s">
        <v>181</v>
      </c>
      <c r="J7" s="5" t="s">
        <v>182</v>
      </c>
      <c r="K7" s="6" t="s">
        <v>183</v>
      </c>
      <c r="L7" s="1"/>
      <c r="M7" s="1" t="s">
        <v>184</v>
      </c>
      <c r="N7" s="1"/>
    </row>
    <row r="8" spans="2:14" ht="48" customHeight="1" x14ac:dyDescent="0.3">
      <c r="B8" s="21" t="s">
        <v>185</v>
      </c>
      <c r="C8" s="24">
        <v>30</v>
      </c>
      <c r="D8" s="26">
        <f>0</f>
        <v>0</v>
      </c>
      <c r="E8" s="27">
        <f>1</f>
        <v>1</v>
      </c>
      <c r="F8" s="25">
        <f>0</f>
        <v>0</v>
      </c>
      <c r="G8" s="25">
        <f>IF(AND(AND(ISNUMBER(D8),D8&gt;=0,D8&lt;=3),Inputs!E33="OK"),D8*Inputs!C33,NA())</f>
        <v>0</v>
      </c>
      <c r="H8" s="15">
        <f t="shared" ref="H8:H14" si="0">IF(AND(AND(ISNUMBER(C8),C8&gt;=0,C8&lt;=100000),AND(ISNUMBER(E8),E8&gt;=1,E8&lt;=10)),IF(C8=0,IF(F8=G8,0,NA()),MAX(0,(G8-F8)/3.6/C8)),NA())</f>
        <v>0</v>
      </c>
      <c r="I8" s="9">
        <f>(Model!T36+4*Model!T37+Model!T38)/6</f>
        <v>18</v>
      </c>
      <c r="J8" s="9">
        <f t="shared" ref="J8:J14" si="1">I8*C8/3600</f>
        <v>0.15</v>
      </c>
      <c r="K8" s="9">
        <f>IF(C8=0,0,MAX(Model!T36:T38))</f>
        <v>18</v>
      </c>
      <c r="L8" s="1"/>
      <c r="M8" s="21" t="s">
        <v>186</v>
      </c>
      <c r="N8" s="1"/>
    </row>
    <row r="9" spans="2:14" ht="48" customHeight="1" x14ac:dyDescent="0.3">
      <c r="B9" s="21" t="s">
        <v>187</v>
      </c>
      <c r="C9" s="24">
        <v>15</v>
      </c>
      <c r="D9" s="18">
        <v>0</v>
      </c>
      <c r="E9" s="14">
        <v>1.1000000000000001</v>
      </c>
      <c r="F9" s="25">
        <f t="shared" ref="F9:F14" si="2">G8</f>
        <v>0</v>
      </c>
      <c r="G9" s="25">
        <f>IF(AND(AND(ISNUMBER(D9),D9&gt;=0,D9&lt;=3),Inputs!E33="OK"),D9*Inputs!C33,NA())</f>
        <v>0</v>
      </c>
      <c r="H9" s="15">
        <f t="shared" si="0"/>
        <v>0</v>
      </c>
      <c r="I9" s="9">
        <f>(Model!T39+4*Model!T40+Model!T41)/6</f>
        <v>234.49104400645686</v>
      </c>
      <c r="J9" s="9">
        <f t="shared" si="1"/>
        <v>0.97704601669357027</v>
      </c>
      <c r="K9" s="9">
        <f>IF(C9=0,0,MAX(Model!T39:T41))</f>
        <v>234.49104400645686</v>
      </c>
      <c r="L9" s="1"/>
      <c r="M9" s="21" t="s">
        <v>188</v>
      </c>
      <c r="N9" s="1"/>
    </row>
    <row r="10" spans="2:14" ht="48" customHeight="1" x14ac:dyDescent="0.3">
      <c r="B10" s="21" t="s">
        <v>189</v>
      </c>
      <c r="C10" s="24">
        <v>10</v>
      </c>
      <c r="D10" s="18">
        <v>1</v>
      </c>
      <c r="E10" s="14">
        <v>1</v>
      </c>
      <c r="F10" s="25">
        <f t="shared" si="2"/>
        <v>0</v>
      </c>
      <c r="G10" s="25">
        <f>IF(AND(AND(ISNUMBER(D10),D10&gt;=0,D10&lt;=3),Inputs!E33="OK"),D10*Inputs!C33,NA())</f>
        <v>300</v>
      </c>
      <c r="H10" s="15">
        <f t="shared" si="0"/>
        <v>8.3333333333333321</v>
      </c>
      <c r="I10" s="9">
        <f>(Model!T42+4*Model!T43+Model!T44)/6</f>
        <v>1849.1904427350655</v>
      </c>
      <c r="J10" s="9">
        <f t="shared" si="1"/>
        <v>5.1366401187085149</v>
      </c>
      <c r="K10" s="9">
        <f>IF(C10=0,0,MAX(Model!T42:T44))</f>
        <v>5517.5611859693317</v>
      </c>
      <c r="L10" s="1"/>
      <c r="M10" s="21" t="s">
        <v>190</v>
      </c>
      <c r="N10" s="1"/>
    </row>
    <row r="11" spans="2:14" ht="48" customHeight="1" x14ac:dyDescent="0.3">
      <c r="B11" s="21" t="s">
        <v>191</v>
      </c>
      <c r="C11" s="24">
        <v>5</v>
      </c>
      <c r="D11" s="18">
        <v>1</v>
      </c>
      <c r="E11" s="14">
        <v>1</v>
      </c>
      <c r="F11" s="25">
        <f t="shared" si="2"/>
        <v>300</v>
      </c>
      <c r="G11" s="25">
        <f>IF(AND(AND(ISNUMBER(D11),D11&gt;=0,D11&lt;=3),Inputs!E33="OK"),D11*Inputs!C33,NA())</f>
        <v>300</v>
      </c>
      <c r="H11" s="15">
        <f t="shared" si="0"/>
        <v>0</v>
      </c>
      <c r="I11" s="9">
        <f>(Model!T45+4*Model!T46+Model!T47)/6</f>
        <v>4035.5772466314006</v>
      </c>
      <c r="J11" s="9">
        <f t="shared" si="1"/>
        <v>5.6049683980991674</v>
      </c>
      <c r="K11" s="9">
        <f>IF(C11=0,0,MAX(Model!T45:T47))</f>
        <v>4035.5772466314002</v>
      </c>
      <c r="L11" s="1"/>
      <c r="M11" s="21" t="s">
        <v>192</v>
      </c>
      <c r="N11" s="1"/>
    </row>
    <row r="12" spans="2:14" ht="48" customHeight="1" x14ac:dyDescent="0.3">
      <c r="B12" s="21" t="s">
        <v>193</v>
      </c>
      <c r="C12" s="24">
        <v>15</v>
      </c>
      <c r="D12" s="18">
        <v>0.2</v>
      </c>
      <c r="E12" s="14">
        <v>1.2</v>
      </c>
      <c r="F12" s="25">
        <f t="shared" si="2"/>
        <v>300</v>
      </c>
      <c r="G12" s="25">
        <f>IF(AND(AND(ISNUMBER(D12),D12&gt;=0,D12&lt;=3),Inputs!E33="OK"),D12*Inputs!C33,NA())</f>
        <v>60</v>
      </c>
      <c r="H12" s="15">
        <f t="shared" si="0"/>
        <v>0</v>
      </c>
      <c r="I12" s="9">
        <f>(Model!T48+4*Model!T49+Model!T50)/6</f>
        <v>1327.2367530753982</v>
      </c>
      <c r="J12" s="9">
        <f t="shared" si="1"/>
        <v>5.5301531378141586</v>
      </c>
      <c r="K12" s="9">
        <f>IF(C12=0,0,MAX(Model!T48:T50))</f>
        <v>4044.7987899543682</v>
      </c>
      <c r="L12" s="1"/>
      <c r="M12" s="21" t="s">
        <v>194</v>
      </c>
      <c r="N12" s="1"/>
    </row>
    <row r="13" spans="2:14" ht="48" customHeight="1" x14ac:dyDescent="0.3">
      <c r="B13" s="21" t="s">
        <v>195</v>
      </c>
      <c r="C13" s="24">
        <v>35</v>
      </c>
      <c r="D13" s="18">
        <v>0.2</v>
      </c>
      <c r="E13" s="14">
        <v>1</v>
      </c>
      <c r="F13" s="25">
        <f t="shared" si="2"/>
        <v>60</v>
      </c>
      <c r="G13" s="25">
        <f>IF(AND(AND(ISNUMBER(D13),D13&gt;=0,D13&lt;=3),Inputs!E33="OK"),D13*Inputs!C33,NA())</f>
        <v>60</v>
      </c>
      <c r="H13" s="15">
        <f t="shared" si="0"/>
        <v>0</v>
      </c>
      <c r="I13" s="9">
        <f>(Model!T51+4*Model!T52+Model!T53)/6</f>
        <v>150.49488762218891</v>
      </c>
      <c r="J13" s="9">
        <f t="shared" si="1"/>
        <v>1.463144740771281</v>
      </c>
      <c r="K13" s="9">
        <f>IF(C13=0,0,MAX(Model!T51:T53))</f>
        <v>150.49488762218891</v>
      </c>
      <c r="L13" s="1"/>
      <c r="M13" s="21" t="s">
        <v>196</v>
      </c>
      <c r="N13" s="1"/>
    </row>
    <row r="14" spans="2:14" ht="48" customHeight="1" x14ac:dyDescent="0.3">
      <c r="B14" s="21" t="s">
        <v>197</v>
      </c>
      <c r="C14" s="24">
        <v>10</v>
      </c>
      <c r="D14" s="18">
        <v>0</v>
      </c>
      <c r="E14" s="14">
        <v>1.1000000000000001</v>
      </c>
      <c r="F14" s="25">
        <f t="shared" si="2"/>
        <v>60</v>
      </c>
      <c r="G14" s="25">
        <f>IF(AND(AND(ISNUMBER(D14),D14&gt;=0,D14&lt;=3),Inputs!E33="OK"),D14*Inputs!C33,NA())</f>
        <v>0</v>
      </c>
      <c r="H14" s="15">
        <f t="shared" si="0"/>
        <v>0</v>
      </c>
      <c r="I14" s="9">
        <f>(Model!T54+4*Model!T55+Model!T56)/6</f>
        <v>203.29054088511384</v>
      </c>
      <c r="J14" s="9">
        <f t="shared" si="1"/>
        <v>0.56469594690309399</v>
      </c>
      <c r="K14" s="9">
        <f>IF(C14=0,0,MAX(Model!T54:T56))</f>
        <v>234.49104400645686</v>
      </c>
      <c r="L14" s="1"/>
      <c r="M14" s="21" t="s">
        <v>198</v>
      </c>
      <c r="N14" s="1"/>
    </row>
    <row r="15" spans="2:14" ht="22.95" customHeight="1" x14ac:dyDescent="0.3">
      <c r="B15" s="1"/>
      <c r="C15" s="25"/>
      <c r="D15" s="1"/>
      <c r="E15" s="1"/>
      <c r="F15" s="1"/>
      <c r="G15" s="1"/>
      <c r="H15" s="1"/>
      <c r="I15" s="9"/>
      <c r="J15" s="9"/>
      <c r="K15" s="9"/>
      <c r="L15" s="1"/>
      <c r="M15" s="1"/>
      <c r="N15" s="1"/>
    </row>
    <row r="16" spans="2:14" ht="22.95" customHeight="1" x14ac:dyDescent="0.3">
      <c r="B16" s="7" t="s">
        <v>199</v>
      </c>
      <c r="C16" s="28">
        <f>SUM(C8:C14)</f>
        <v>120</v>
      </c>
      <c r="D16" s="7"/>
      <c r="E16" s="7"/>
      <c r="F16" s="7"/>
      <c r="G16" s="7"/>
      <c r="H16" s="7"/>
      <c r="I16" s="10" t="s">
        <v>200</v>
      </c>
      <c r="J16" s="10">
        <f>SUM(J8:J14)</f>
        <v>19.426648358989784</v>
      </c>
      <c r="K16" s="10">
        <f>MAX(K8:K14)</f>
        <v>5517.5611859693317</v>
      </c>
      <c r="L16" s="1"/>
      <c r="M16" s="1"/>
      <c r="N16" s="1"/>
    </row>
    <row r="17" spans="2:14" ht="22.95" customHeight="1" x14ac:dyDescent="0.3">
      <c r="B17" s="1" t="s">
        <v>201</v>
      </c>
      <c r="C17" s="25">
        <f>SUM(C9:C14)</f>
        <v>90</v>
      </c>
      <c r="D17" s="1"/>
      <c r="E17" s="1"/>
      <c r="F17" s="1"/>
      <c r="G17" s="1"/>
      <c r="H17" s="1"/>
      <c r="I17" s="9"/>
      <c r="J17" s="9"/>
      <c r="K17" s="9"/>
      <c r="L17" s="1"/>
      <c r="M17" s="1"/>
      <c r="N17" s="1"/>
    </row>
    <row r="18" spans="2:14" ht="22.95" customHeight="1" x14ac:dyDescent="0.3">
      <c r="B18" s="1"/>
      <c r="C18" s="1"/>
      <c r="D18" s="1"/>
      <c r="E18" s="1"/>
      <c r="F18" s="1"/>
      <c r="G18" s="1"/>
      <c r="H18" s="1"/>
      <c r="I18" s="9"/>
      <c r="J18" s="9"/>
      <c r="K18" s="9"/>
      <c r="L18" s="1"/>
      <c r="M18" s="1"/>
      <c r="N18" s="1"/>
    </row>
    <row r="19" spans="2:14" ht="22.95" customHeight="1" x14ac:dyDescent="0.3">
      <c r="B19" s="1" t="s">
        <v>32</v>
      </c>
      <c r="C19" s="25">
        <f>K16/Inputs!C62</f>
        <v>262.74100885568248</v>
      </c>
      <c r="D19" s="1" t="s">
        <v>33</v>
      </c>
      <c r="E19" s="1"/>
      <c r="F19" s="1" t="s">
        <v>202</v>
      </c>
      <c r="G19" s="1"/>
      <c r="H19" s="1"/>
      <c r="I19" s="9">
        <f>(K16-Inputs!C32)/Inputs!C25</f>
        <v>1374.8902964923329</v>
      </c>
      <c r="J19" s="9" t="s">
        <v>203</v>
      </c>
      <c r="K19" s="9"/>
      <c r="L19" s="1"/>
      <c r="M19" s="1"/>
      <c r="N19" s="1"/>
    </row>
    <row r="20" spans="2:14" ht="22.95" customHeight="1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ht="22.95" customHeight="1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22.95" customHeight="1" x14ac:dyDescent="0.3">
      <c r="B22" s="7" t="s">
        <v>204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1"/>
    </row>
    <row r="23" spans="2:14" ht="22.95" customHeight="1" x14ac:dyDescent="0.3">
      <c r="B23" s="23" t="s">
        <v>205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ht="22.95" customHeight="1" x14ac:dyDescent="0.3">
      <c r="B24" s="23" t="s">
        <v>206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ht="22.95" customHeight="1" x14ac:dyDescent="0.3">
      <c r="B25" s="23" t="s">
        <v>207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ht="22.95" customHeight="1" x14ac:dyDescent="0.3">
      <c r="B26" s="23" t="s">
        <v>208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ht="22.95" customHeight="1" x14ac:dyDescent="0.3">
      <c r="B27" s="23" t="s">
        <v>209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ht="22.95" customHeight="1" x14ac:dyDescent="0.3">
      <c r="B28" s="23" t="s">
        <v>210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ht="22.95" customHeight="1" x14ac:dyDescent="0.3">
      <c r="B29" s="23" t="s">
        <v>211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 ht="22.95" customHeight="1" x14ac:dyDescent="0.3">
      <c r="B30" s="23" t="s">
        <v>212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ht="22.95" customHeight="1" x14ac:dyDescent="0.3">
      <c r="B31" s="23" t="s">
        <v>213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ht="22.95" customHeight="1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22.95" customHeigh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</sheetData>
  <conditionalFormatting sqref="B2:N33">
    <cfRule type="containsErrors" dxfId="1" priority="1"/>
  </conditionalFormatting>
  <dataValidations count="3">
    <dataValidation type="decimal" sqref="C8:C14" xr:uid="{00000000-0002-0000-0200-000000000000}">
      <formula1>0</formula1>
      <formula2>100000</formula2>
    </dataValidation>
    <dataValidation type="decimal" sqref="D8:D14" xr:uid="{00000000-0002-0000-0200-000001000000}">
      <formula1>0</formula1>
      <formula2>3</formula2>
    </dataValidation>
    <dataValidation type="decimal" sqref="E8:E14" xr:uid="{00000000-0002-0000-0200-000002000000}">
      <formula1>1</formula1>
      <formula2>10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U6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C8" sqref="C8"/>
    </sheetView>
  </sheetViews>
  <sheetFormatPr defaultRowHeight="14.4" x14ac:dyDescent="0.3"/>
  <cols>
    <col min="1" max="1" width="3" customWidth="1"/>
    <col min="2" max="2" width="29" customWidth="1"/>
    <col min="3" max="4" width="13" customWidth="1"/>
    <col min="5" max="5" width="12" customWidth="1"/>
    <col min="6" max="6" width="10" customWidth="1"/>
    <col min="7" max="7" width="13" customWidth="1"/>
    <col min="8" max="11" width="14" customWidth="1"/>
    <col min="12" max="12" width="12" customWidth="1"/>
    <col min="13" max="16" width="14" customWidth="1"/>
    <col min="17" max="19" width="15" customWidth="1"/>
    <col min="20" max="20" width="17" customWidth="1"/>
    <col min="21" max="21" width="14" customWidth="1"/>
    <col min="22" max="22" width="16" customWidth="1"/>
    <col min="23" max="23" width="15" customWidth="1"/>
    <col min="24" max="47" width="13" customWidth="1"/>
  </cols>
  <sheetData>
    <row r="2" spans="2:47" ht="30" customHeight="1" x14ac:dyDescent="0.3">
      <c r="B2" s="2" t="s">
        <v>214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2:47" ht="22.95" customHeight="1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2:47" ht="22.95" customHeight="1" x14ac:dyDescent="0.3">
      <c r="B4" s="1" t="s">
        <v>215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2:47" ht="22.95" customHeight="1" x14ac:dyDescent="0.3">
      <c r="B5" s="1" t="s">
        <v>216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2:47" ht="22.95" customHeigh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2:47" ht="58.05" customHeight="1" x14ac:dyDescent="0.3">
      <c r="B7" s="4" t="s">
        <v>217</v>
      </c>
      <c r="C7" s="5" t="s">
        <v>218</v>
      </c>
      <c r="D7" s="5" t="s">
        <v>180</v>
      </c>
      <c r="E7" s="5" t="s">
        <v>219</v>
      </c>
      <c r="F7" s="5" t="s">
        <v>220</v>
      </c>
      <c r="G7" s="5" t="s">
        <v>221</v>
      </c>
      <c r="H7" s="5" t="s">
        <v>222</v>
      </c>
      <c r="I7" s="5" t="s">
        <v>223</v>
      </c>
      <c r="J7" s="5" t="s">
        <v>224</v>
      </c>
      <c r="K7" s="5" t="s">
        <v>225</v>
      </c>
      <c r="L7" s="5" t="s">
        <v>226</v>
      </c>
      <c r="M7" s="5" t="s">
        <v>227</v>
      </c>
      <c r="N7" s="5" t="s">
        <v>228</v>
      </c>
      <c r="O7" s="5" t="s">
        <v>229</v>
      </c>
      <c r="P7" s="5" t="s">
        <v>230</v>
      </c>
      <c r="Q7" s="5" t="s">
        <v>231</v>
      </c>
      <c r="R7" s="5" t="s">
        <v>232</v>
      </c>
      <c r="S7" s="5" t="s">
        <v>233</v>
      </c>
      <c r="T7" s="5" t="s">
        <v>234</v>
      </c>
      <c r="U7" s="5" t="s">
        <v>235</v>
      </c>
      <c r="V7" s="5" t="s">
        <v>236</v>
      </c>
      <c r="W7" s="6" t="s">
        <v>237</v>
      </c>
      <c r="X7" s="1" t="s">
        <v>238</v>
      </c>
      <c r="Y7" s="1" t="s">
        <v>239</v>
      </c>
      <c r="Z7" s="1" t="s">
        <v>240</v>
      </c>
      <c r="AA7" s="1" t="s">
        <v>241</v>
      </c>
      <c r="AB7" s="1" t="s">
        <v>242</v>
      </c>
      <c r="AC7" s="1" t="s">
        <v>243</v>
      </c>
      <c r="AD7" s="1" t="s">
        <v>244</v>
      </c>
      <c r="AE7" s="1" t="s">
        <v>245</v>
      </c>
      <c r="AF7" s="1" t="s">
        <v>246</v>
      </c>
      <c r="AG7" s="1" t="s">
        <v>247</v>
      </c>
      <c r="AH7" s="1" t="s">
        <v>248</v>
      </c>
      <c r="AI7" s="1" t="s">
        <v>249</v>
      </c>
      <c r="AJ7" s="1" t="s">
        <v>250</v>
      </c>
      <c r="AK7" s="1" t="s">
        <v>251</v>
      </c>
      <c r="AL7" s="1" t="s">
        <v>252</v>
      </c>
      <c r="AM7" s="1" t="s">
        <v>253</v>
      </c>
      <c r="AN7" s="1" t="s">
        <v>254</v>
      </c>
      <c r="AO7" s="1" t="s">
        <v>255</v>
      </c>
      <c r="AP7" s="1" t="s">
        <v>256</v>
      </c>
      <c r="AQ7" s="1" t="s">
        <v>257</v>
      </c>
      <c r="AR7" s="1" t="s">
        <v>258</v>
      </c>
      <c r="AS7" s="1" t="s">
        <v>259</v>
      </c>
      <c r="AT7" s="1" t="s">
        <v>260</v>
      </c>
      <c r="AU7" s="1" t="s">
        <v>261</v>
      </c>
    </row>
    <row r="8" spans="2:47" ht="22.95" customHeight="1" x14ac:dyDescent="0.3">
      <c r="B8" s="21" t="s">
        <v>262</v>
      </c>
      <c r="C8" s="29">
        <f>0</f>
        <v>0</v>
      </c>
      <c r="D8" s="29">
        <f>0</f>
        <v>0</v>
      </c>
      <c r="E8" s="29">
        <f>1</f>
        <v>1</v>
      </c>
      <c r="F8" s="29">
        <v>1</v>
      </c>
      <c r="G8" s="29">
        <f>C8/3.6</f>
        <v>0</v>
      </c>
      <c r="H8" s="29">
        <f>IF(Inputs!E27="OK",0.5*Inputs!C27*Inputs!C58*G8^2,NA())</f>
        <v>0</v>
      </c>
      <c r="I8" s="29">
        <f>IF(F8=0,0,H8+Inputs!C55*D8)</f>
        <v>0</v>
      </c>
      <c r="J8" s="29">
        <f>IF(F8=0,0,IF(AND(ISNUMBER(E8),E8&gt;=1,E8&lt;=10),Inputs!C56*E8,NA()))</f>
        <v>11.4370055625</v>
      </c>
      <c r="K8" s="29">
        <f>SQRT(I8^2+J8^2)</f>
        <v>11.4370055625</v>
      </c>
      <c r="L8" s="29">
        <f>IF(F8=0,0,DEGREES(ATAN(I8/J8)))</f>
        <v>0</v>
      </c>
      <c r="M8" s="29">
        <f>IF(F8=0,0,G8*I8/K8)</f>
        <v>0</v>
      </c>
      <c r="N8" s="29">
        <f>IF(F8=0,0,G8*J8/K8)</f>
        <v>0</v>
      </c>
      <c r="O8" s="29">
        <f>IF(F8=0,0,IF(Inputs!E27="OK",SQRT(K8/(2*Inputs!C27*Inputs!C57)),NA()))</f>
        <v>9.5983032436566322</v>
      </c>
      <c r="P8" s="29">
        <f>AU8</f>
        <v>9.5983026715531778</v>
      </c>
      <c r="Q8" s="29">
        <f>K8*P8</f>
        <v>109.7758410451123</v>
      </c>
      <c r="R8" s="29">
        <f>I8*G8</f>
        <v>0</v>
      </c>
      <c r="S8" s="29">
        <f>IF(F8=0,0,IF(Inputs!E30="OK",SUM(Q8:R8)/Inputs!C30,NA()))</f>
        <v>168.88590930017276</v>
      </c>
      <c r="T8" s="29">
        <f>IF(AND(Inputs!E31="OK",Inputs!E32="OK"),S8/Inputs!C31+Inputs!C32,NA())</f>
        <v>205.65101033352528</v>
      </c>
      <c r="U8" s="29">
        <f>T8/Inputs!C62</f>
        <v>9.7929052539773949</v>
      </c>
      <c r="V8" s="29">
        <f>IF(Inputs!E25="OK",(T8-Inputs!C32)/Inputs!C25,NA())</f>
        <v>46.912752583381319</v>
      </c>
      <c r="W8" s="30">
        <f>IF(F8=0,0,(P8*SQRT(N8^2+(M8+P8)^2)-O8^2)/O8^2)</f>
        <v>-1.1920928574183249E-7</v>
      </c>
      <c r="X8" s="31">
        <f>$O8/2</f>
        <v>4.7991516218283161</v>
      </c>
      <c r="Y8" s="31">
        <f>X8+IF(X8*SQRT($N8^2+($M8+X8)^2)&lt;$O8^2,1,-1)*$O8/2^2</f>
        <v>7.1987274327424746</v>
      </c>
      <c r="Z8" s="31">
        <f>Y8+IF(Y8*SQRT($N8^2+($M8+Y8)^2)&lt;$O8^2,1,-1)*$O8/2^3</f>
        <v>8.3985153381995534</v>
      </c>
      <c r="AA8" s="31">
        <f>Z8+IF(Z8*SQRT($N8^2+($M8+Z8)^2)&lt;$O8^2,1,-1)*$O8/2^4</f>
        <v>8.9984092909280928</v>
      </c>
      <c r="AB8" s="31">
        <f>AA8+IF(AA8*SQRT($N8^2+($M8+AA8)^2)&lt;$O8^2,1,-1)*$O8/2^5</f>
        <v>9.2983562672923625</v>
      </c>
      <c r="AC8" s="31">
        <f>AB8+IF(AB8*SQRT($N8^2+($M8+AB8)^2)&lt;$O8^2,1,-1)*$O8/2^6</f>
        <v>9.4483297554744983</v>
      </c>
      <c r="AD8" s="31">
        <f>AC8+IF(AC8*SQRT($N8^2+($M8+AC8)^2)&lt;$O8^2,1,-1)*$O8/2^7</f>
        <v>9.5233164995655653</v>
      </c>
      <c r="AE8" s="31">
        <f>AD8+IF(AD8*SQRT($N8^2+($M8+AD8)^2)&lt;$O8^2,1,-1)*$O8/2^8</f>
        <v>9.5608098716110987</v>
      </c>
      <c r="AF8" s="31">
        <f>AE8+IF(AE8*SQRT($N8^2+($M8+AE8)^2)&lt;$O8^2,1,-1)*$O8/2^9</f>
        <v>9.5795565576338664</v>
      </c>
      <c r="AG8" s="31">
        <f>AF8+IF(AF8*SQRT($N8^2+($M8+AF8)^2)&lt;$O8^2,1,-1)*$O8/2^10</f>
        <v>9.5889299006452493</v>
      </c>
      <c r="AH8" s="31">
        <f>AG8+IF(AG8*SQRT($N8^2+($M8+AG8)^2)&lt;$O8^2,1,-1)*$O8/2^11</f>
        <v>9.5936165721509408</v>
      </c>
      <c r="AI8" s="31">
        <f>AH8+IF(AH8*SQRT($N8^2+($M8+AH8)^2)&lt;$O8^2,1,-1)*$O8/2^12</f>
        <v>9.5959599079037865</v>
      </c>
      <c r="AJ8" s="31">
        <f>AI8+IF(AI8*SQRT($N8^2+($M8+AI8)^2)&lt;$O8^2,1,-1)*$O8/2^13</f>
        <v>9.5971315757802103</v>
      </c>
      <c r="AK8" s="31">
        <f>AJ8+IF(AJ8*SQRT($N8^2+($M8+AJ8)^2)&lt;$O8^2,1,-1)*$O8/2^14</f>
        <v>9.5977174097184221</v>
      </c>
      <c r="AL8" s="31">
        <f>AK8+IF(AK8*SQRT($N8^2+($M8+AK8)^2)&lt;$O8^2,1,-1)*$O8/2^15</f>
        <v>9.5980103266875272</v>
      </c>
      <c r="AM8" s="31">
        <f>AL8+IF(AL8*SQRT($N8^2+($M8+AL8)^2)&lt;$O8^2,1,-1)*$O8/2^16</f>
        <v>9.5981567851720797</v>
      </c>
      <c r="AN8" s="31">
        <f>AM8+IF(AM8*SQRT($N8^2+($M8+AM8)^2)&lt;$O8^2,1,-1)*$O8/2^17</f>
        <v>9.5982300144143569</v>
      </c>
      <c r="AO8" s="31">
        <f>AN8+IF(AN8*SQRT($N8^2+($M8+AN8)^2)&lt;$O8^2,1,-1)*$O8/2^18</f>
        <v>9.5982666290354945</v>
      </c>
      <c r="AP8" s="31">
        <f>AO8+IF(AO8*SQRT($N8^2+($M8+AO8)^2)&lt;$O8^2,1,-1)*$O8/2^19</f>
        <v>9.5982849363460634</v>
      </c>
      <c r="AQ8" s="31">
        <f>AP8+IF(AP8*SQRT($N8^2+($M8+AP8)^2)&lt;$O8^2,1,-1)*$O8/2^20</f>
        <v>9.5982940900013478</v>
      </c>
      <c r="AR8" s="31">
        <f>AQ8+IF(AQ8*SQRT($N8^2+($M8+AQ8)^2)&lt;$O8^2,1,-1)*$O8/2^21</f>
        <v>9.59829866682899</v>
      </c>
      <c r="AS8" s="31">
        <f>AR8+IF(AR8*SQRT($N8^2+($M8+AR8)^2)&lt;$O8^2,1,-1)*$O8/2^22</f>
        <v>9.5983009552428111</v>
      </c>
      <c r="AT8" s="31">
        <f>AS8+IF(AS8*SQRT($N8^2+($M8+AS8)^2)&lt;$O8^2,1,-1)*$O8/2^23</f>
        <v>9.5983020994497217</v>
      </c>
      <c r="AU8" s="31">
        <f>AT8+IF(AT8*SQRT($N8^2+($M8+AT8)^2)&lt;$O8^2,1,-1)*$O8/2^24</f>
        <v>9.5983026715531778</v>
      </c>
    </row>
    <row r="9" spans="2:47" ht="22.95" customHeight="1" x14ac:dyDescent="0.3">
      <c r="B9" s="32" t="s">
        <v>263</v>
      </c>
      <c r="C9" s="33">
        <f>IF(Inputs!E33="OK",Inputs!C33,NA())</f>
        <v>300</v>
      </c>
      <c r="D9" s="33">
        <f>0</f>
        <v>0</v>
      </c>
      <c r="E9" s="33">
        <f>1</f>
        <v>1</v>
      </c>
      <c r="F9" s="33">
        <v>1</v>
      </c>
      <c r="G9" s="33">
        <f>C9/3.6</f>
        <v>83.333333333333329</v>
      </c>
      <c r="H9" s="33">
        <f>IF(Inputs!E27="OK",0.5*Inputs!C27*Inputs!C58*G9^2,NA())</f>
        <v>27.222222222222225</v>
      </c>
      <c r="I9" s="33">
        <f>IF(F9=0,0,H9+Inputs!C55*D9)</f>
        <v>27.222222222222225</v>
      </c>
      <c r="J9" s="33">
        <f>IF(F9=0,0,IF(AND(ISNUMBER(E9),E9&gt;=1,E9&lt;=10),Inputs!C56*E9,NA()))</f>
        <v>11.4370055625</v>
      </c>
      <c r="K9" s="33">
        <f>SQRT(I9^2+J9^2)</f>
        <v>29.527182035417898</v>
      </c>
      <c r="L9" s="33">
        <f>IF(F9=0,0,DEGREES(ATAN(I9/J9)))</f>
        <v>67.211024458160693</v>
      </c>
      <c r="M9" s="33">
        <f>IF(F9=0,0,G9*I9/K9)</f>
        <v>76.828141466308139</v>
      </c>
      <c r="N9" s="33">
        <f>IF(F9=0,0,G9*J9/K9)</f>
        <v>32.278183394940115</v>
      </c>
      <c r="O9" s="33">
        <f>IF(F9=0,0,IF(Inputs!E27="OK",SQRT(K9/(2*Inputs!C27*Inputs!C57)),NA()))</f>
        <v>15.42230548079355</v>
      </c>
      <c r="P9" s="33">
        <f>AU9</f>
        <v>2.769115273607023</v>
      </c>
      <c r="Q9" s="33">
        <f>K9*P9</f>
        <v>81.764170760850604</v>
      </c>
      <c r="R9" s="33">
        <f>I9*G9</f>
        <v>2268.5185185185187</v>
      </c>
      <c r="S9" s="33">
        <f>IF(F9=0,0,IF(Inputs!E30="OK",SUM(Q9:R9)/Inputs!C30,NA()))</f>
        <v>3615.8195219682602</v>
      </c>
      <c r="T9" s="33">
        <f>IF(AND(Inputs!E31="OK",Inputs!E32="OK"),S9/Inputs!C31+Inputs!C32,NA())</f>
        <v>4035.5772466314002</v>
      </c>
      <c r="U9" s="33">
        <f>T9/Inputs!C62</f>
        <v>192.17034507768571</v>
      </c>
      <c r="V9" s="33">
        <f>IF(Inputs!E25="OK",(T9-Inputs!C32)/Inputs!C25,NA())</f>
        <v>1004.39431165785</v>
      </c>
      <c r="W9" s="34">
        <f>IF(F9=0,0,(P9*SQRT(N9^2+(M9+P9)^2)-O9^2)/O9^2)</f>
        <v>2.6389039295926022E-7</v>
      </c>
      <c r="X9" s="31">
        <f>$O9/2</f>
        <v>7.7111527403967752</v>
      </c>
      <c r="Y9" s="31">
        <f>X9+IF(X9*SQRT($N9^2+($M9+X9)^2)&lt;$O9^2,1,-1)*$O9/2^2</f>
        <v>3.8555763701983876</v>
      </c>
      <c r="Z9" s="31">
        <f>Y9+IF(Y9*SQRT($N9^2+($M9+Y9)^2)&lt;$O9^2,1,-1)*$O9/2^3</f>
        <v>1.9277881850991938</v>
      </c>
      <c r="AA9" s="31">
        <f>Z9+IF(Z9*SQRT($N9^2+($M9+Z9)^2)&lt;$O9^2,1,-1)*$O9/2^4</f>
        <v>2.8916822776487905</v>
      </c>
      <c r="AB9" s="31">
        <f>AA9+IF(AA9*SQRT($N9^2+($M9+AA9)^2)&lt;$O9^2,1,-1)*$O9/2^5</f>
        <v>2.4097352313739919</v>
      </c>
      <c r="AC9" s="31">
        <f>AB9+IF(AB9*SQRT($N9^2+($M9+AB9)^2)&lt;$O9^2,1,-1)*$O9/2^6</f>
        <v>2.650708754511391</v>
      </c>
      <c r="AD9" s="31">
        <f>AC9+IF(AC9*SQRT($N9^2+($M9+AC9)^2)&lt;$O9^2,1,-1)*$O9/2^7</f>
        <v>2.7711955160800907</v>
      </c>
      <c r="AE9" s="31">
        <f>AD9+IF(AD9*SQRT($N9^2+($M9+AD9)^2)&lt;$O9^2,1,-1)*$O9/2^8</f>
        <v>2.7109521352957411</v>
      </c>
      <c r="AF9" s="31">
        <f>AE9+IF(AE9*SQRT($N9^2+($M9+AE9)^2)&lt;$O9^2,1,-1)*$O9/2^9</f>
        <v>2.7410738256879159</v>
      </c>
      <c r="AG9" s="31">
        <f>AF9+IF(AF9*SQRT($N9^2+($M9+AF9)^2)&lt;$O9^2,1,-1)*$O9/2^10</f>
        <v>2.7561346708840033</v>
      </c>
      <c r="AH9" s="31">
        <f>AG9+IF(AG9*SQRT($N9^2+($M9+AG9)^2)&lt;$O9^2,1,-1)*$O9/2^11</f>
        <v>2.763665093482047</v>
      </c>
      <c r="AI9" s="31">
        <f>AH9+IF(AH9*SQRT($N9^2+($M9+AH9)^2)&lt;$O9^2,1,-1)*$O9/2^12</f>
        <v>2.7674303047810689</v>
      </c>
      <c r="AJ9" s="31">
        <f>AI9+IF(AI9*SQRT($N9^2+($M9+AI9)^2)&lt;$O9^2,1,-1)*$O9/2^13</f>
        <v>2.76931291043058</v>
      </c>
      <c r="AK9" s="31">
        <f>AJ9+IF(AJ9*SQRT($N9^2+($M9+AJ9)^2)&lt;$O9^2,1,-1)*$O9/2^14</f>
        <v>2.7683716076058245</v>
      </c>
      <c r="AL9" s="31">
        <f>AK9+IF(AK9*SQRT($N9^2+($M9+AK9)^2)&lt;$O9^2,1,-1)*$O9/2^15</f>
        <v>2.7688422590182022</v>
      </c>
      <c r="AM9" s="31">
        <f>AL9+IF(AL9*SQRT($N9^2+($M9+AL9)^2)&lt;$O9^2,1,-1)*$O9/2^16</f>
        <v>2.7690775847243909</v>
      </c>
      <c r="AN9" s="31">
        <f>AM9+IF(AM9*SQRT($N9^2+($M9+AM9)^2)&lt;$O9^2,1,-1)*$O9/2^17</f>
        <v>2.7691952475774855</v>
      </c>
      <c r="AO9" s="31">
        <f>AN9+IF(AN9*SQRT($N9^2+($M9+AN9)^2)&lt;$O9^2,1,-1)*$O9/2^18</f>
        <v>2.7691364161509382</v>
      </c>
      <c r="AP9" s="31">
        <f>AO9+IF(AO9*SQRT($N9^2+($M9+AO9)^2)&lt;$O9^2,1,-1)*$O9/2^19</f>
        <v>2.7691070004376646</v>
      </c>
      <c r="AQ9" s="31">
        <f>AP9+IF(AP9*SQRT($N9^2+($M9+AP9)^2)&lt;$O9^2,1,-1)*$O9/2^20</f>
        <v>2.7691217082943012</v>
      </c>
      <c r="AR9" s="31">
        <f>AQ9+IF(AQ9*SQRT($N9^2+($M9+AQ9)^2)&lt;$O9^2,1,-1)*$O9/2^21</f>
        <v>2.7691143543659829</v>
      </c>
      <c r="AS9" s="31">
        <f>AR9+IF(AR9*SQRT($N9^2+($M9+AR9)^2)&lt;$O9^2,1,-1)*$O9/2^22</f>
        <v>2.7691180313301422</v>
      </c>
      <c r="AT9" s="31">
        <f>AS9+IF(AS9*SQRT($N9^2+($M9+AS9)^2)&lt;$O9^2,1,-1)*$O9/2^23</f>
        <v>2.7691161928480628</v>
      </c>
      <c r="AU9" s="31">
        <f>AT9+IF(AT9*SQRT($N9^2+($M9+AT9)^2)&lt;$O9^2,1,-1)*$O9/2^24</f>
        <v>2.769115273607023</v>
      </c>
    </row>
    <row r="10" spans="2:47" ht="22.95" customHeight="1" x14ac:dyDescent="0.3">
      <c r="B10" s="21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30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</row>
    <row r="11" spans="2:47" ht="22.95" customHeight="1" x14ac:dyDescent="0.3">
      <c r="B11" s="21"/>
      <c r="C11" s="29" t="s">
        <v>264</v>
      </c>
      <c r="D11" s="29"/>
      <c r="E11" s="29"/>
      <c r="F11" s="29"/>
      <c r="G11" s="29"/>
      <c r="H11" s="29"/>
      <c r="I11" s="29"/>
      <c r="J11" s="29"/>
      <c r="K11" s="29" t="s">
        <v>265</v>
      </c>
      <c r="L11" s="29"/>
      <c r="M11" s="29"/>
      <c r="N11" s="29"/>
      <c r="O11" s="29"/>
      <c r="P11" s="29"/>
      <c r="Q11" s="29"/>
      <c r="R11" s="29"/>
      <c r="S11" s="29"/>
      <c r="T11" s="29" t="s">
        <v>234</v>
      </c>
      <c r="U11" s="29"/>
      <c r="V11" s="29"/>
      <c r="W11" s="30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</row>
    <row r="12" spans="2:47" ht="22.95" customHeight="1" x14ac:dyDescent="0.3">
      <c r="B12" s="21" t="s">
        <v>266</v>
      </c>
      <c r="C12" s="29">
        <f>IF(AND(Inputs!E33="OK",Inputs!E34="OK"),Inputs!C33*Inputs!C34*0/20,NA())</f>
        <v>0</v>
      </c>
      <c r="D12" s="29">
        <f>0</f>
        <v>0</v>
      </c>
      <c r="E12" s="29">
        <f>1</f>
        <v>1</v>
      </c>
      <c r="F12" s="29">
        <v>1</v>
      </c>
      <c r="G12" s="29">
        <f t="shared" ref="G12:G32" si="0">C12/3.6</f>
        <v>0</v>
      </c>
      <c r="H12" s="29">
        <f>IF(Inputs!E27="OK",0.5*Inputs!C27*Inputs!C58*G12^2,NA())</f>
        <v>0</v>
      </c>
      <c r="I12" s="29">
        <f>IF(F12=0,0,H12+Inputs!C55*D12)</f>
        <v>0</v>
      </c>
      <c r="J12" s="29">
        <f>IF(F12=0,0,IF(AND(ISNUMBER(E12),E12&gt;=1,E12&lt;=10),Inputs!C56*E12,NA()))</f>
        <v>11.4370055625</v>
      </c>
      <c r="K12" s="29">
        <f t="shared" ref="K12:K32" si="1">SQRT(I12^2+J12^2)</f>
        <v>11.4370055625</v>
      </c>
      <c r="L12" s="29">
        <f t="shared" ref="L12:L32" si="2">IF(F12=0,0,DEGREES(ATAN(I12/J12)))</f>
        <v>0</v>
      </c>
      <c r="M12" s="29">
        <f t="shared" ref="M12:M32" si="3">IF(F12=0,0,G12*I12/K12)</f>
        <v>0</v>
      </c>
      <c r="N12" s="29">
        <f t="shared" ref="N12:N32" si="4">IF(F12=0,0,G12*J12/K12)</f>
        <v>0</v>
      </c>
      <c r="O12" s="29">
        <f>IF(F12=0,0,IF(Inputs!E27="OK",SQRT(K12/(2*Inputs!C27*Inputs!C57)),NA()))</f>
        <v>9.5983032436566322</v>
      </c>
      <c r="P12" s="29">
        <f t="shared" ref="P12:P32" si="5">AU12</f>
        <v>9.5983026715531778</v>
      </c>
      <c r="Q12" s="29">
        <f t="shared" ref="Q12:Q32" si="6">K12*P12</f>
        <v>109.7758410451123</v>
      </c>
      <c r="R12" s="29">
        <f t="shared" ref="R12:R32" si="7">I12*G12</f>
        <v>0</v>
      </c>
      <c r="S12" s="29">
        <f>IF(F12=0,0,IF(Inputs!E30="OK",SUM(Q12:R12)/Inputs!C30,NA()))</f>
        <v>168.88590930017276</v>
      </c>
      <c r="T12" s="29">
        <f>IF(AND(Inputs!E31="OK",Inputs!E32="OK"),S12/Inputs!C31+Inputs!C32,NA())</f>
        <v>205.65101033352528</v>
      </c>
      <c r="U12" s="29">
        <f>T12/Inputs!C62</f>
        <v>9.7929052539773949</v>
      </c>
      <c r="V12" s="29">
        <f>IF(Inputs!E25="OK",(T12-Inputs!C32)/Inputs!C25,NA())</f>
        <v>46.912752583381319</v>
      </c>
      <c r="W12" s="30">
        <f t="shared" ref="W12:W32" si="8">IF(F12=0,0,(P12*SQRT(N12^2+(M12+P12)^2)-O12^2)/O12^2)</f>
        <v>-1.1920928574183249E-7</v>
      </c>
      <c r="X12" s="31">
        <f t="shared" ref="X12:X32" si="9">$O12/2</f>
        <v>4.7991516218283161</v>
      </c>
      <c r="Y12" s="31">
        <f t="shared" ref="Y12:Y32" si="10">X12+IF(X12*SQRT($N12^2+($M12+X12)^2)&lt;$O12^2,1,-1)*$O12/2^2</f>
        <v>7.1987274327424746</v>
      </c>
      <c r="Z12" s="31">
        <f t="shared" ref="Z12:Z32" si="11">Y12+IF(Y12*SQRT($N12^2+($M12+Y12)^2)&lt;$O12^2,1,-1)*$O12/2^3</f>
        <v>8.3985153381995534</v>
      </c>
      <c r="AA12" s="31">
        <f t="shared" ref="AA12:AA32" si="12">Z12+IF(Z12*SQRT($N12^2+($M12+Z12)^2)&lt;$O12^2,1,-1)*$O12/2^4</f>
        <v>8.9984092909280928</v>
      </c>
      <c r="AB12" s="31">
        <f t="shared" ref="AB12:AB32" si="13">AA12+IF(AA12*SQRT($N12^2+($M12+AA12)^2)&lt;$O12^2,1,-1)*$O12/2^5</f>
        <v>9.2983562672923625</v>
      </c>
      <c r="AC12" s="31">
        <f t="shared" ref="AC12:AC32" si="14">AB12+IF(AB12*SQRT($N12^2+($M12+AB12)^2)&lt;$O12^2,1,-1)*$O12/2^6</f>
        <v>9.4483297554744983</v>
      </c>
      <c r="AD12" s="31">
        <f t="shared" ref="AD12:AD32" si="15">AC12+IF(AC12*SQRT($N12^2+($M12+AC12)^2)&lt;$O12^2,1,-1)*$O12/2^7</f>
        <v>9.5233164995655653</v>
      </c>
      <c r="AE12" s="31">
        <f t="shared" ref="AE12:AE32" si="16">AD12+IF(AD12*SQRT($N12^2+($M12+AD12)^2)&lt;$O12^2,1,-1)*$O12/2^8</f>
        <v>9.5608098716110987</v>
      </c>
      <c r="AF12" s="31">
        <f t="shared" ref="AF12:AF32" si="17">AE12+IF(AE12*SQRT($N12^2+($M12+AE12)^2)&lt;$O12^2,1,-1)*$O12/2^9</f>
        <v>9.5795565576338664</v>
      </c>
      <c r="AG12" s="31">
        <f t="shared" ref="AG12:AG32" si="18">AF12+IF(AF12*SQRT($N12^2+($M12+AF12)^2)&lt;$O12^2,1,-1)*$O12/2^10</f>
        <v>9.5889299006452493</v>
      </c>
      <c r="AH12" s="31">
        <f t="shared" ref="AH12:AH32" si="19">AG12+IF(AG12*SQRT($N12^2+($M12+AG12)^2)&lt;$O12^2,1,-1)*$O12/2^11</f>
        <v>9.5936165721509408</v>
      </c>
      <c r="AI12" s="31">
        <f t="shared" ref="AI12:AI32" si="20">AH12+IF(AH12*SQRT($N12^2+($M12+AH12)^2)&lt;$O12^2,1,-1)*$O12/2^12</f>
        <v>9.5959599079037865</v>
      </c>
      <c r="AJ12" s="31">
        <f t="shared" ref="AJ12:AJ32" si="21">AI12+IF(AI12*SQRT($N12^2+($M12+AI12)^2)&lt;$O12^2,1,-1)*$O12/2^13</f>
        <v>9.5971315757802103</v>
      </c>
      <c r="AK12" s="31">
        <f t="shared" ref="AK12:AK32" si="22">AJ12+IF(AJ12*SQRT($N12^2+($M12+AJ12)^2)&lt;$O12^2,1,-1)*$O12/2^14</f>
        <v>9.5977174097184221</v>
      </c>
      <c r="AL12" s="31">
        <f t="shared" ref="AL12:AL32" si="23">AK12+IF(AK12*SQRT($N12^2+($M12+AK12)^2)&lt;$O12^2,1,-1)*$O12/2^15</f>
        <v>9.5980103266875272</v>
      </c>
      <c r="AM12" s="31">
        <f t="shared" ref="AM12:AM32" si="24">AL12+IF(AL12*SQRT($N12^2+($M12+AL12)^2)&lt;$O12^2,1,-1)*$O12/2^16</f>
        <v>9.5981567851720797</v>
      </c>
      <c r="AN12" s="31">
        <f t="shared" ref="AN12:AN32" si="25">AM12+IF(AM12*SQRT($N12^2+($M12+AM12)^2)&lt;$O12^2,1,-1)*$O12/2^17</f>
        <v>9.5982300144143569</v>
      </c>
      <c r="AO12" s="31">
        <f t="shared" ref="AO12:AO32" si="26">AN12+IF(AN12*SQRT($N12^2+($M12+AN12)^2)&lt;$O12^2,1,-1)*$O12/2^18</f>
        <v>9.5982666290354945</v>
      </c>
      <c r="AP12" s="31">
        <f t="shared" ref="AP12:AP32" si="27">AO12+IF(AO12*SQRT($N12^2+($M12+AO12)^2)&lt;$O12^2,1,-1)*$O12/2^19</f>
        <v>9.5982849363460634</v>
      </c>
      <c r="AQ12" s="31">
        <f t="shared" ref="AQ12:AQ32" si="28">AP12+IF(AP12*SQRT($N12^2+($M12+AP12)^2)&lt;$O12^2,1,-1)*$O12/2^20</f>
        <v>9.5982940900013478</v>
      </c>
      <c r="AR12" s="31">
        <f t="shared" ref="AR12:AR32" si="29">AQ12+IF(AQ12*SQRT($N12^2+($M12+AQ12)^2)&lt;$O12^2,1,-1)*$O12/2^21</f>
        <v>9.59829866682899</v>
      </c>
      <c r="AS12" s="31">
        <f t="shared" ref="AS12:AS32" si="30">AR12+IF(AR12*SQRT($N12^2+($M12+AR12)^2)&lt;$O12^2,1,-1)*$O12/2^22</f>
        <v>9.5983009552428111</v>
      </c>
      <c r="AT12" s="31">
        <f t="shared" ref="AT12:AT32" si="31">AS12+IF(AS12*SQRT($N12^2+($M12+AS12)^2)&lt;$O12^2,1,-1)*$O12/2^23</f>
        <v>9.5983020994497217</v>
      </c>
      <c r="AU12" s="31">
        <f t="shared" ref="AU12:AU32" si="32">AT12+IF(AT12*SQRT($N12^2+($M12+AT12)^2)&lt;$O12^2,1,-1)*$O12/2^24</f>
        <v>9.5983026715531778</v>
      </c>
    </row>
    <row r="13" spans="2:47" ht="22.95" customHeight="1" x14ac:dyDescent="0.3">
      <c r="B13" s="21" t="s">
        <v>267</v>
      </c>
      <c r="C13" s="29">
        <f>IF(AND(Inputs!E33="OK",Inputs!E34="OK"),Inputs!C33*Inputs!C34*1/20,NA())</f>
        <v>18</v>
      </c>
      <c r="D13" s="29">
        <f>0</f>
        <v>0</v>
      </c>
      <c r="E13" s="29">
        <f>1</f>
        <v>1</v>
      </c>
      <c r="F13" s="29">
        <v>1</v>
      </c>
      <c r="G13" s="29">
        <f t="shared" si="0"/>
        <v>5</v>
      </c>
      <c r="H13" s="29">
        <f>IF(Inputs!E27="OK",0.5*Inputs!C27*Inputs!C58*G13^2,NA())</f>
        <v>9.8000000000000018E-2</v>
      </c>
      <c r="I13" s="29">
        <f>IF(F13=0,0,H13+Inputs!C55*D13)</f>
        <v>9.8000000000000018E-2</v>
      </c>
      <c r="J13" s="29">
        <f>IF(F13=0,0,IF(AND(ISNUMBER(E13),E13&gt;=1,E13&lt;=10),Inputs!C56*E13,NA()))</f>
        <v>11.4370055625</v>
      </c>
      <c r="K13" s="29">
        <f t="shared" si="1"/>
        <v>11.437425419938524</v>
      </c>
      <c r="L13" s="29">
        <f t="shared" si="2"/>
        <v>0.49093698049469769</v>
      </c>
      <c r="M13" s="29">
        <f t="shared" si="3"/>
        <v>4.2841809411565443E-2</v>
      </c>
      <c r="N13" s="29">
        <f t="shared" si="4"/>
        <v>4.9998164545677417</v>
      </c>
      <c r="O13" s="29">
        <f>IF(F13=0,0,IF(Inputs!E27="OK",SQRT(K13/(2*Inputs!C27*Inputs!C57)),NA()))</f>
        <v>9.5984794209789079</v>
      </c>
      <c r="P13" s="29">
        <f t="shared" si="5"/>
        <v>8.9523024524984596</v>
      </c>
      <c r="Q13" s="29">
        <f t="shared" si="6"/>
        <v>102.39129163718387</v>
      </c>
      <c r="R13" s="29">
        <f t="shared" si="7"/>
        <v>0.4900000000000001</v>
      </c>
      <c r="S13" s="29">
        <f>IF(F13=0,0,IF(Inputs!E30="OK",SUM(Q13:R13)/Inputs!C30,NA()))</f>
        <v>158.27891021105211</v>
      </c>
      <c r="T13" s="29">
        <f>IF(AND(Inputs!E31="OK",Inputs!E32="OK"),S13/Inputs!C31+Inputs!C32,NA())</f>
        <v>193.86545579005789</v>
      </c>
      <c r="U13" s="29">
        <f>T13/Inputs!C62</f>
        <v>9.2316883709551369</v>
      </c>
      <c r="V13" s="29">
        <f>IF(Inputs!E25="OK",(T13-Inputs!C32)/Inputs!C25,NA())</f>
        <v>43.966363947514473</v>
      </c>
      <c r="W13" s="30">
        <f t="shared" si="8"/>
        <v>-8.4309874897919058E-8</v>
      </c>
      <c r="X13" s="31">
        <f t="shared" si="9"/>
        <v>4.799239710489454</v>
      </c>
      <c r="Y13" s="31">
        <f t="shared" si="10"/>
        <v>7.198859565734181</v>
      </c>
      <c r="Z13" s="31">
        <f t="shared" si="11"/>
        <v>8.3986694933565449</v>
      </c>
      <c r="AA13" s="31">
        <f t="shared" si="12"/>
        <v>8.9985744571677273</v>
      </c>
      <c r="AB13" s="31">
        <f t="shared" si="13"/>
        <v>8.698621975262137</v>
      </c>
      <c r="AC13" s="31">
        <f t="shared" si="14"/>
        <v>8.848598216214933</v>
      </c>
      <c r="AD13" s="31">
        <f t="shared" si="15"/>
        <v>8.9235863366913311</v>
      </c>
      <c r="AE13" s="31">
        <f t="shared" si="16"/>
        <v>8.9610803969295301</v>
      </c>
      <c r="AF13" s="31">
        <f t="shared" si="17"/>
        <v>8.9423333668104306</v>
      </c>
      <c r="AG13" s="31">
        <f t="shared" si="18"/>
        <v>8.9517068818699794</v>
      </c>
      <c r="AH13" s="31">
        <f t="shared" si="19"/>
        <v>8.9563936393997547</v>
      </c>
      <c r="AI13" s="31">
        <f t="shared" si="20"/>
        <v>8.9540502606348671</v>
      </c>
      <c r="AJ13" s="31">
        <f t="shared" si="21"/>
        <v>8.9528785712524233</v>
      </c>
      <c r="AK13" s="31">
        <f t="shared" si="22"/>
        <v>8.9522927265612022</v>
      </c>
      <c r="AL13" s="31">
        <f t="shared" si="23"/>
        <v>8.9525856489068136</v>
      </c>
      <c r="AM13" s="31">
        <f t="shared" si="24"/>
        <v>8.9524391877340079</v>
      </c>
      <c r="AN13" s="31">
        <f t="shared" si="25"/>
        <v>8.952365957147606</v>
      </c>
      <c r="AO13" s="31">
        <f t="shared" si="26"/>
        <v>8.952329341854405</v>
      </c>
      <c r="AP13" s="31">
        <f t="shared" si="27"/>
        <v>8.9523110342078045</v>
      </c>
      <c r="AQ13" s="31">
        <f t="shared" si="28"/>
        <v>8.9523018803845034</v>
      </c>
      <c r="AR13" s="31">
        <f t="shared" si="29"/>
        <v>8.952306457296153</v>
      </c>
      <c r="AS13" s="31">
        <f t="shared" si="30"/>
        <v>8.9523041688403282</v>
      </c>
      <c r="AT13" s="31">
        <f t="shared" si="31"/>
        <v>8.9523030246124158</v>
      </c>
      <c r="AU13" s="31">
        <f t="shared" si="32"/>
        <v>8.9523024524984596</v>
      </c>
    </row>
    <row r="14" spans="2:47" ht="22.95" customHeight="1" x14ac:dyDescent="0.3">
      <c r="B14" s="21" t="s">
        <v>268</v>
      </c>
      <c r="C14" s="29">
        <f>IF(AND(Inputs!E33="OK",Inputs!E34="OK"),Inputs!C33*Inputs!C34*2/20,NA())</f>
        <v>36</v>
      </c>
      <c r="D14" s="29">
        <f>0</f>
        <v>0</v>
      </c>
      <c r="E14" s="29">
        <f>1</f>
        <v>1</v>
      </c>
      <c r="F14" s="29">
        <v>1</v>
      </c>
      <c r="G14" s="29">
        <f t="shared" si="0"/>
        <v>10</v>
      </c>
      <c r="H14" s="29">
        <f>IF(Inputs!E27="OK",0.5*Inputs!C27*Inputs!C58*G14^2,NA())</f>
        <v>0.39200000000000007</v>
      </c>
      <c r="I14" s="29">
        <f>IF(F14=0,0,H14+Inputs!C55*D14)</f>
        <v>0.39200000000000007</v>
      </c>
      <c r="J14" s="29">
        <f>IF(F14=0,0,IF(AND(ISNUMBER(E14),E14&gt;=1,E14&lt;=10),Inputs!C56*E14,NA()))</f>
        <v>11.4370055625</v>
      </c>
      <c r="K14" s="29">
        <f t="shared" si="1"/>
        <v>11.443721433024134</v>
      </c>
      <c r="L14" s="29">
        <f t="shared" si="2"/>
        <v>1.9630275301730806</v>
      </c>
      <c r="M14" s="29">
        <f t="shared" si="3"/>
        <v>0.34254591244136007</v>
      </c>
      <c r="N14" s="29">
        <f t="shared" si="4"/>
        <v>9.9941313928660005</v>
      </c>
      <c r="O14" s="29">
        <f>IF(F14=0,0,IF(Inputs!E27="OK",SQRT(K14/(2*Inputs!C27*Inputs!C57)),NA()))</f>
        <v>9.6011209174483412</v>
      </c>
      <c r="P14" s="29">
        <f t="shared" si="5"/>
        <v>7.3198130511489294</v>
      </c>
      <c r="Q14" s="29">
        <f t="shared" si="6"/>
        <v>83.76590149916278</v>
      </c>
      <c r="R14" s="29">
        <f t="shared" si="7"/>
        <v>3.9200000000000008</v>
      </c>
      <c r="S14" s="29">
        <f>IF(F14=0,0,IF(Inputs!E30="OK",SUM(Q14:R14)/Inputs!C30,NA()))</f>
        <v>134.90138692178888</v>
      </c>
      <c r="T14" s="29">
        <f>IF(AND(Inputs!E31="OK",Inputs!E32="OK"),S14/Inputs!C31+Inputs!C32,NA())</f>
        <v>167.89042991309876</v>
      </c>
      <c r="U14" s="29">
        <f>T14/Inputs!C62</f>
        <v>7.9947823768142268</v>
      </c>
      <c r="V14" s="29">
        <f>IF(Inputs!E25="OK",(T14-Inputs!C32)/Inputs!C25,NA())</f>
        <v>37.472607478274689</v>
      </c>
      <c r="W14" s="30">
        <f t="shared" si="8"/>
        <v>1.0286638331437828E-7</v>
      </c>
      <c r="X14" s="31">
        <f t="shared" si="9"/>
        <v>4.8005604587241706</v>
      </c>
      <c r="Y14" s="31">
        <f t="shared" si="10"/>
        <v>7.2008406880862559</v>
      </c>
      <c r="Z14" s="31">
        <f t="shared" si="11"/>
        <v>8.4009808027672985</v>
      </c>
      <c r="AA14" s="31">
        <f t="shared" si="12"/>
        <v>7.8009107454267772</v>
      </c>
      <c r="AB14" s="31">
        <f t="shared" si="13"/>
        <v>7.5008757167565161</v>
      </c>
      <c r="AC14" s="31">
        <f t="shared" si="14"/>
        <v>7.350858202421386</v>
      </c>
      <c r="AD14" s="31">
        <f t="shared" si="15"/>
        <v>7.2758494452538205</v>
      </c>
      <c r="AE14" s="31">
        <f t="shared" si="16"/>
        <v>7.3133538238376028</v>
      </c>
      <c r="AF14" s="31">
        <f t="shared" si="17"/>
        <v>7.3321060131294944</v>
      </c>
      <c r="AG14" s="31">
        <f t="shared" si="18"/>
        <v>7.3227299184835486</v>
      </c>
      <c r="AH14" s="31">
        <f t="shared" si="19"/>
        <v>7.3180418711605757</v>
      </c>
      <c r="AI14" s="31">
        <f t="shared" si="20"/>
        <v>7.3203858948220617</v>
      </c>
      <c r="AJ14" s="31">
        <f t="shared" si="21"/>
        <v>7.3192138829913187</v>
      </c>
      <c r="AK14" s="31">
        <f t="shared" si="22"/>
        <v>7.3197998889066902</v>
      </c>
      <c r="AL14" s="31">
        <f t="shared" si="23"/>
        <v>7.320092891864376</v>
      </c>
      <c r="AM14" s="31">
        <f t="shared" si="24"/>
        <v>7.3199463903855326</v>
      </c>
      <c r="AN14" s="31">
        <f t="shared" si="25"/>
        <v>7.319873139646111</v>
      </c>
      <c r="AO14" s="31">
        <f t="shared" si="26"/>
        <v>7.3198365142764006</v>
      </c>
      <c r="AP14" s="31">
        <f t="shared" si="27"/>
        <v>7.3198182015915449</v>
      </c>
      <c r="AQ14" s="31">
        <f t="shared" si="28"/>
        <v>7.3198090452491176</v>
      </c>
      <c r="AR14" s="31">
        <f t="shared" si="29"/>
        <v>7.3198136234203313</v>
      </c>
      <c r="AS14" s="31">
        <f t="shared" si="30"/>
        <v>7.319811334334724</v>
      </c>
      <c r="AT14" s="31">
        <f t="shared" si="31"/>
        <v>7.3198124788775276</v>
      </c>
      <c r="AU14" s="31">
        <f t="shared" si="32"/>
        <v>7.3198130511489294</v>
      </c>
    </row>
    <row r="15" spans="2:47" ht="22.95" customHeight="1" x14ac:dyDescent="0.3">
      <c r="B15" s="21" t="s">
        <v>269</v>
      </c>
      <c r="C15" s="29">
        <f>IF(AND(Inputs!E33="OK",Inputs!E34="OK"),Inputs!C33*Inputs!C34*3/20,NA())</f>
        <v>54</v>
      </c>
      <c r="D15" s="29">
        <f>0</f>
        <v>0</v>
      </c>
      <c r="E15" s="29">
        <f>1</f>
        <v>1</v>
      </c>
      <c r="F15" s="29">
        <v>1</v>
      </c>
      <c r="G15" s="29">
        <f t="shared" si="0"/>
        <v>15</v>
      </c>
      <c r="H15" s="29">
        <f>IF(Inputs!E27="OK",0.5*Inputs!C27*Inputs!C58*G15^2,NA())</f>
        <v>0.88200000000000012</v>
      </c>
      <c r="I15" s="29">
        <f>IF(F15=0,0,H15+Inputs!C55*D15)</f>
        <v>0.88200000000000012</v>
      </c>
      <c r="J15" s="29">
        <f>IF(F15=0,0,IF(AND(ISNUMBER(E15),E15&gt;=1,E15&lt;=10),Inputs!C56*E15,NA()))</f>
        <v>11.4370055625</v>
      </c>
      <c r="K15" s="29">
        <f t="shared" si="1"/>
        <v>11.470964224364748</v>
      </c>
      <c r="L15" s="29">
        <f t="shared" si="2"/>
        <v>4.4098127684205766</v>
      </c>
      <c r="M15" s="29">
        <f t="shared" si="3"/>
        <v>1.1533468103665601</v>
      </c>
      <c r="N15" s="29">
        <f t="shared" si="4"/>
        <v>14.955593974664373</v>
      </c>
      <c r="O15" s="29">
        <f>IF(F15=0,0,IF(Inputs!E27="OK",SQRT(K15/(2*Inputs!C27*Inputs!C57)),NA()))</f>
        <v>9.6125422829919156</v>
      </c>
      <c r="P15" s="29">
        <f t="shared" si="5"/>
        <v>5.6270577806675606</v>
      </c>
      <c r="Q15" s="29">
        <f t="shared" si="6"/>
        <v>64.547778490470876</v>
      </c>
      <c r="R15" s="29">
        <f t="shared" si="7"/>
        <v>13.230000000000002</v>
      </c>
      <c r="S15" s="29">
        <f>IF(F15=0,0,IF(Inputs!E30="OK",SUM(Q15:R15)/Inputs!C30,NA()))</f>
        <v>119.65812075457058</v>
      </c>
      <c r="T15" s="29">
        <f>IF(AND(Inputs!E31="OK",Inputs!E32="OK"),S15/Inputs!C31+Inputs!C32,NA())</f>
        <v>150.95346750507841</v>
      </c>
      <c r="U15" s="29">
        <f>T15/Inputs!C62</f>
        <v>7.1882603573846859</v>
      </c>
      <c r="V15" s="29">
        <f>IF(Inputs!E25="OK",(T15-Inputs!C32)/Inputs!C25,NA())</f>
        <v>33.238366876269602</v>
      </c>
      <c r="W15" s="30">
        <f t="shared" si="8"/>
        <v>-7.0957455805843602E-8</v>
      </c>
      <c r="X15" s="31">
        <f t="shared" si="9"/>
        <v>4.8062711414959578</v>
      </c>
      <c r="Y15" s="31">
        <f t="shared" si="10"/>
        <v>7.2094067122439363</v>
      </c>
      <c r="Z15" s="31">
        <f t="shared" si="11"/>
        <v>6.0078389268699466</v>
      </c>
      <c r="AA15" s="31">
        <f t="shared" si="12"/>
        <v>5.4070550341829522</v>
      </c>
      <c r="AB15" s="31">
        <f t="shared" si="13"/>
        <v>5.7074469805264494</v>
      </c>
      <c r="AC15" s="31">
        <f t="shared" si="14"/>
        <v>5.5572510073547008</v>
      </c>
      <c r="AD15" s="31">
        <f t="shared" si="15"/>
        <v>5.6323489939405755</v>
      </c>
      <c r="AE15" s="31">
        <f t="shared" si="16"/>
        <v>5.5948000006476386</v>
      </c>
      <c r="AF15" s="31">
        <f t="shared" si="17"/>
        <v>5.6135744972941071</v>
      </c>
      <c r="AG15" s="31">
        <f t="shared" si="18"/>
        <v>5.6229617456173413</v>
      </c>
      <c r="AH15" s="31">
        <f t="shared" si="19"/>
        <v>5.6276553697789584</v>
      </c>
      <c r="AI15" s="31">
        <f t="shared" si="20"/>
        <v>5.6253085576981494</v>
      </c>
      <c r="AJ15" s="31">
        <f t="shared" si="21"/>
        <v>5.6264819637385539</v>
      </c>
      <c r="AK15" s="31">
        <f t="shared" si="22"/>
        <v>5.6270686667587562</v>
      </c>
      <c r="AL15" s="31">
        <f t="shared" si="23"/>
        <v>5.626775315248655</v>
      </c>
      <c r="AM15" s="31">
        <f t="shared" si="24"/>
        <v>5.6269219910037052</v>
      </c>
      <c r="AN15" s="31">
        <f t="shared" si="25"/>
        <v>5.6269953288812307</v>
      </c>
      <c r="AO15" s="31">
        <f t="shared" si="26"/>
        <v>5.6270319978199934</v>
      </c>
      <c r="AP15" s="31">
        <f t="shared" si="27"/>
        <v>5.6270503322893743</v>
      </c>
      <c r="AQ15" s="31">
        <f t="shared" si="28"/>
        <v>5.6270594995240648</v>
      </c>
      <c r="AR15" s="31">
        <f t="shared" si="29"/>
        <v>5.6270549159067196</v>
      </c>
      <c r="AS15" s="31">
        <f t="shared" si="30"/>
        <v>5.6270572077153922</v>
      </c>
      <c r="AT15" s="31">
        <f t="shared" si="31"/>
        <v>5.6270583536197289</v>
      </c>
      <c r="AU15" s="31">
        <f t="shared" si="32"/>
        <v>5.6270577806675606</v>
      </c>
    </row>
    <row r="16" spans="2:47" ht="22.95" customHeight="1" x14ac:dyDescent="0.3">
      <c r="B16" s="21" t="s">
        <v>270</v>
      </c>
      <c r="C16" s="29">
        <f>IF(AND(Inputs!E33="OK",Inputs!E34="OK"),Inputs!C33*Inputs!C34*4/20,NA())</f>
        <v>72</v>
      </c>
      <c r="D16" s="29">
        <f>0</f>
        <v>0</v>
      </c>
      <c r="E16" s="29">
        <f>1</f>
        <v>1</v>
      </c>
      <c r="F16" s="29">
        <v>1</v>
      </c>
      <c r="G16" s="29">
        <f t="shared" si="0"/>
        <v>20</v>
      </c>
      <c r="H16" s="29">
        <f>IF(Inputs!E27="OK",0.5*Inputs!C27*Inputs!C58*G16^2,NA())</f>
        <v>1.5680000000000003</v>
      </c>
      <c r="I16" s="29">
        <f>IF(F16=0,0,H16+Inputs!C55*D16)</f>
        <v>1.5680000000000003</v>
      </c>
      <c r="J16" s="29">
        <f>IF(F16=0,0,IF(AND(ISNUMBER(E16),E16&gt;=1,E16&lt;=10),Inputs!C56*E16,NA()))</f>
        <v>11.4370055625</v>
      </c>
      <c r="K16" s="29">
        <f t="shared" si="1"/>
        <v>11.543990654737033</v>
      </c>
      <c r="L16" s="29">
        <f t="shared" si="2"/>
        <v>7.8065160452915521</v>
      </c>
      <c r="M16" s="29">
        <f t="shared" si="3"/>
        <v>2.7165649157149612</v>
      </c>
      <c r="N16" s="29">
        <f t="shared" si="4"/>
        <v>19.814647992298688</v>
      </c>
      <c r="O16" s="29">
        <f>IF(F16=0,0,IF(Inputs!E27="OK",SQRT(K16/(2*Inputs!C27*Inputs!C57)),NA()))</f>
        <v>9.6430914137666317</v>
      </c>
      <c r="P16" s="29">
        <f t="shared" si="5"/>
        <v>4.4156174215736463</v>
      </c>
      <c r="Q16" s="29">
        <f t="shared" si="6"/>
        <v>50.973846249540209</v>
      </c>
      <c r="R16" s="29">
        <f t="shared" si="7"/>
        <v>31.360000000000007</v>
      </c>
      <c r="S16" s="29">
        <f>IF(F16=0,0,IF(Inputs!E30="OK",SUM(Q16:R16)/Inputs!C30,NA()))</f>
        <v>126.66745576852341</v>
      </c>
      <c r="T16" s="29">
        <f>IF(AND(Inputs!E31="OK",Inputs!E32="OK"),S16/Inputs!C31+Inputs!C32,NA())</f>
        <v>158.74161752058157</v>
      </c>
      <c r="U16" s="29">
        <f>T16/Inputs!C62</f>
        <v>7.5591246438372179</v>
      </c>
      <c r="V16" s="29">
        <f>IF(Inputs!E25="OK",(T16-Inputs!C32)/Inputs!C25,NA())</f>
        <v>35.185404380145393</v>
      </c>
      <c r="W16" s="30">
        <f t="shared" si="8"/>
        <v>-1.0584794843740241E-7</v>
      </c>
      <c r="X16" s="31">
        <f t="shared" si="9"/>
        <v>4.8215457068833159</v>
      </c>
      <c r="Y16" s="31">
        <f t="shared" si="10"/>
        <v>2.4107728534416579</v>
      </c>
      <c r="Z16" s="31">
        <f t="shared" si="11"/>
        <v>3.6161592801624867</v>
      </c>
      <c r="AA16" s="31">
        <f t="shared" si="12"/>
        <v>4.2188524935229008</v>
      </c>
      <c r="AB16" s="31">
        <f t="shared" si="13"/>
        <v>4.5201991002031079</v>
      </c>
      <c r="AC16" s="31">
        <f t="shared" si="14"/>
        <v>4.3695257968630044</v>
      </c>
      <c r="AD16" s="31">
        <f t="shared" si="15"/>
        <v>4.4448624485330566</v>
      </c>
      <c r="AE16" s="31">
        <f t="shared" si="16"/>
        <v>4.4071941226980309</v>
      </c>
      <c r="AF16" s="31">
        <f t="shared" si="17"/>
        <v>4.4260282856155442</v>
      </c>
      <c r="AG16" s="31">
        <f t="shared" si="18"/>
        <v>4.416611204156788</v>
      </c>
      <c r="AH16" s="31">
        <f t="shared" si="19"/>
        <v>4.4119026634274094</v>
      </c>
      <c r="AI16" s="31">
        <f t="shared" si="20"/>
        <v>4.4142569337920987</v>
      </c>
      <c r="AJ16" s="31">
        <f t="shared" si="21"/>
        <v>4.4154340689744433</v>
      </c>
      <c r="AK16" s="31">
        <f t="shared" si="22"/>
        <v>4.4160226365656152</v>
      </c>
      <c r="AL16" s="31">
        <f t="shared" si="23"/>
        <v>4.4157283527700288</v>
      </c>
      <c r="AM16" s="31">
        <f t="shared" si="24"/>
        <v>4.4155812108722357</v>
      </c>
      <c r="AN16" s="31">
        <f t="shared" si="25"/>
        <v>4.4156547818211322</v>
      </c>
      <c r="AO16" s="31">
        <f t="shared" si="26"/>
        <v>4.4156179963466844</v>
      </c>
      <c r="AP16" s="31">
        <f t="shared" si="27"/>
        <v>4.4155996036094605</v>
      </c>
      <c r="AQ16" s="31">
        <f t="shared" si="28"/>
        <v>4.4156087999780729</v>
      </c>
      <c r="AR16" s="31">
        <f t="shared" si="29"/>
        <v>4.4156133981623791</v>
      </c>
      <c r="AS16" s="31">
        <f t="shared" si="30"/>
        <v>4.4156156972545322</v>
      </c>
      <c r="AT16" s="31">
        <f t="shared" si="31"/>
        <v>4.4156168468006083</v>
      </c>
      <c r="AU16" s="31">
        <f t="shared" si="32"/>
        <v>4.4156174215736463</v>
      </c>
    </row>
    <row r="17" spans="2:47" ht="22.95" customHeight="1" x14ac:dyDescent="0.3">
      <c r="B17" s="21" t="s">
        <v>271</v>
      </c>
      <c r="C17" s="29">
        <f>IF(AND(Inputs!E33="OK",Inputs!E34="OK"),Inputs!C33*Inputs!C34*5/20,NA())</f>
        <v>90</v>
      </c>
      <c r="D17" s="29">
        <f>0</f>
        <v>0</v>
      </c>
      <c r="E17" s="29">
        <f>1</f>
        <v>1</v>
      </c>
      <c r="F17" s="29">
        <v>1</v>
      </c>
      <c r="G17" s="29">
        <f t="shared" si="0"/>
        <v>25</v>
      </c>
      <c r="H17" s="29">
        <f>IF(Inputs!E27="OK",0.5*Inputs!C27*Inputs!C58*G17^2,NA())</f>
        <v>2.4500000000000006</v>
      </c>
      <c r="I17" s="29">
        <f>IF(F17=0,0,H17+Inputs!C55*D17)</f>
        <v>2.4500000000000006</v>
      </c>
      <c r="J17" s="29">
        <f>IF(F17=0,0,IF(AND(ISNUMBER(E17),E17&gt;=1,E17&lt;=10),Inputs!C56*E17,NA()))</f>
        <v>11.4370055625</v>
      </c>
      <c r="K17" s="29">
        <f t="shared" si="1"/>
        <v>11.696477941528208</v>
      </c>
      <c r="L17" s="29">
        <f t="shared" si="2"/>
        <v>12.090987942589214</v>
      </c>
      <c r="M17" s="29">
        <f t="shared" si="3"/>
        <v>5.2366191178399619</v>
      </c>
      <c r="N17" s="29">
        <f t="shared" si="4"/>
        <v>24.445404889563047</v>
      </c>
      <c r="O17" s="29">
        <f>IF(F17=0,0,IF(Inputs!E27="OK",SQRT(K17/(2*Inputs!C27*Inputs!C57)),NA()))</f>
        <v>9.7065714018626323</v>
      </c>
      <c r="P17" s="29">
        <f t="shared" si="5"/>
        <v>3.6235361570549713</v>
      </c>
      <c r="Q17" s="29">
        <f t="shared" si="6"/>
        <v>42.382610731323368</v>
      </c>
      <c r="R17" s="29">
        <f t="shared" si="7"/>
        <v>61.250000000000014</v>
      </c>
      <c r="S17" s="29">
        <f>IF(F17=0,0,IF(Inputs!E30="OK",SUM(Q17:R17)/Inputs!C30,NA()))</f>
        <v>159.43478574049752</v>
      </c>
      <c r="T17" s="29">
        <f>IF(AND(Inputs!E31="OK",Inputs!E32="OK"),S17/Inputs!C31+Inputs!C32,NA())</f>
        <v>195.14976193388614</v>
      </c>
      <c r="U17" s="29">
        <f>T17/Inputs!C62</f>
        <v>9.2928458063755297</v>
      </c>
      <c r="V17" s="29">
        <f>IF(Inputs!E25="OK",(T17-Inputs!C32)/Inputs!C25,NA())</f>
        <v>44.287440483471535</v>
      </c>
      <c r="W17" s="30">
        <f t="shared" si="8"/>
        <v>-1.9373448362014888E-8</v>
      </c>
      <c r="X17" s="31">
        <f t="shared" si="9"/>
        <v>4.8532857009313162</v>
      </c>
      <c r="Y17" s="31">
        <f t="shared" si="10"/>
        <v>2.4266428504656581</v>
      </c>
      <c r="Z17" s="31">
        <f t="shared" si="11"/>
        <v>3.6399642756984871</v>
      </c>
      <c r="AA17" s="31">
        <f t="shared" si="12"/>
        <v>3.0333035630820726</v>
      </c>
      <c r="AB17" s="31">
        <f t="shared" si="13"/>
        <v>3.3366339193902799</v>
      </c>
      <c r="AC17" s="31">
        <f t="shared" si="14"/>
        <v>3.4882990975443837</v>
      </c>
      <c r="AD17" s="31">
        <f t="shared" si="15"/>
        <v>3.5641316866214354</v>
      </c>
      <c r="AE17" s="31">
        <f t="shared" si="16"/>
        <v>3.6020479811599615</v>
      </c>
      <c r="AF17" s="31">
        <f t="shared" si="17"/>
        <v>3.6210061284292245</v>
      </c>
      <c r="AG17" s="31">
        <f t="shared" si="18"/>
        <v>3.6304852020638561</v>
      </c>
      <c r="AH17" s="31">
        <f t="shared" si="19"/>
        <v>3.6257456652465403</v>
      </c>
      <c r="AI17" s="31">
        <f t="shared" si="20"/>
        <v>3.6233758968378824</v>
      </c>
      <c r="AJ17" s="31">
        <f t="shared" si="21"/>
        <v>3.6245607810422111</v>
      </c>
      <c r="AK17" s="31">
        <f t="shared" si="22"/>
        <v>3.6239683389400468</v>
      </c>
      <c r="AL17" s="31">
        <f t="shared" si="23"/>
        <v>3.6236721178889644</v>
      </c>
      <c r="AM17" s="31">
        <f t="shared" si="24"/>
        <v>3.6235240073634234</v>
      </c>
      <c r="AN17" s="31">
        <f t="shared" si="25"/>
        <v>3.6235980626261939</v>
      </c>
      <c r="AO17" s="31">
        <f t="shared" si="26"/>
        <v>3.6235610349948084</v>
      </c>
      <c r="AP17" s="31">
        <f t="shared" si="27"/>
        <v>3.6235425211791159</v>
      </c>
      <c r="AQ17" s="31">
        <f t="shared" si="28"/>
        <v>3.6235332642712694</v>
      </c>
      <c r="AR17" s="31">
        <f t="shared" si="29"/>
        <v>3.6235378927251927</v>
      </c>
      <c r="AS17" s="31">
        <f t="shared" si="30"/>
        <v>3.623535578498231</v>
      </c>
      <c r="AT17" s="31">
        <f t="shared" si="31"/>
        <v>3.6235367356117116</v>
      </c>
      <c r="AU17" s="31">
        <f t="shared" si="32"/>
        <v>3.6235361570549713</v>
      </c>
    </row>
    <row r="18" spans="2:47" ht="22.95" customHeight="1" x14ac:dyDescent="0.3">
      <c r="B18" s="21" t="s">
        <v>272</v>
      </c>
      <c r="C18" s="29">
        <f>IF(AND(Inputs!E33="OK",Inputs!E34="OK"),Inputs!C33*Inputs!C34*6/20,NA())</f>
        <v>108</v>
      </c>
      <c r="D18" s="29">
        <f>0</f>
        <v>0</v>
      </c>
      <c r="E18" s="29">
        <f>1</f>
        <v>1</v>
      </c>
      <c r="F18" s="29">
        <v>1</v>
      </c>
      <c r="G18" s="29">
        <f t="shared" si="0"/>
        <v>30</v>
      </c>
      <c r="H18" s="29">
        <f>IF(Inputs!E27="OK",0.5*Inputs!C27*Inputs!C58*G18^2,NA())</f>
        <v>3.5280000000000005</v>
      </c>
      <c r="I18" s="29">
        <f>IF(F18=0,0,H18+Inputs!C55*D18)</f>
        <v>3.5280000000000005</v>
      </c>
      <c r="J18" s="29">
        <f>IF(F18=0,0,IF(AND(ISNUMBER(E18),E18&gt;=1,E18&lt;=10),Inputs!C56*E18,NA()))</f>
        <v>11.4370055625</v>
      </c>
      <c r="K18" s="29">
        <f t="shared" si="1"/>
        <v>11.968787751341234</v>
      </c>
      <c r="L18" s="29">
        <f t="shared" si="2"/>
        <v>17.143547871072002</v>
      </c>
      <c r="M18" s="29">
        <f t="shared" si="3"/>
        <v>8.8430008283954642</v>
      </c>
      <c r="N18" s="29">
        <f t="shared" si="4"/>
        <v>28.667077569033736</v>
      </c>
      <c r="O18" s="29">
        <f>IF(F18=0,0,IF(Inputs!E27="OK",SQRT(K18/(2*Inputs!C27*Inputs!C57)),NA()))</f>
        <v>9.8189123501144149</v>
      </c>
      <c r="P18" s="29">
        <f t="shared" si="5"/>
        <v>3.1043218054105779</v>
      </c>
      <c r="Q18" s="29">
        <f t="shared" si="6"/>
        <v>37.154968800819631</v>
      </c>
      <c r="R18" s="29">
        <f t="shared" si="7"/>
        <v>105.84000000000002</v>
      </c>
      <c r="S18" s="29">
        <f>IF(F18=0,0,IF(Inputs!E30="OK",SUM(Q18:R18)/Inputs!C30,NA()))</f>
        <v>219.99225969356871</v>
      </c>
      <c r="T18" s="29">
        <f>IF(AND(Inputs!E31="OK",Inputs!E32="OK"),S18/Inputs!C31+Inputs!C32,NA())</f>
        <v>262.43584410396522</v>
      </c>
      <c r="U18" s="29">
        <f>T18/Inputs!C62</f>
        <v>12.496944957331678</v>
      </c>
      <c r="V18" s="29">
        <f>IF(Inputs!E25="OK",(T18-Inputs!C32)/Inputs!C25,NA())</f>
        <v>61.108961025991306</v>
      </c>
      <c r="W18" s="30">
        <f t="shared" si="8"/>
        <v>1.3262766543545756E-7</v>
      </c>
      <c r="X18" s="31">
        <f t="shared" si="9"/>
        <v>4.9094561750572074</v>
      </c>
      <c r="Y18" s="31">
        <f t="shared" si="10"/>
        <v>2.4547280875286037</v>
      </c>
      <c r="Z18" s="31">
        <f t="shared" si="11"/>
        <v>3.6820921312929054</v>
      </c>
      <c r="AA18" s="31">
        <f t="shared" si="12"/>
        <v>3.0684101094107543</v>
      </c>
      <c r="AB18" s="31">
        <f t="shared" si="13"/>
        <v>3.3752511203518298</v>
      </c>
      <c r="AC18" s="31">
        <f t="shared" si="14"/>
        <v>3.2218306148812923</v>
      </c>
      <c r="AD18" s="31">
        <f t="shared" si="15"/>
        <v>3.1451203621460233</v>
      </c>
      <c r="AE18" s="31">
        <f t="shared" si="16"/>
        <v>3.106765235778389</v>
      </c>
      <c r="AF18" s="31">
        <f t="shared" si="17"/>
        <v>3.0875876725945717</v>
      </c>
      <c r="AG18" s="31">
        <f t="shared" si="18"/>
        <v>3.0971764541864801</v>
      </c>
      <c r="AH18" s="31">
        <f t="shared" si="19"/>
        <v>3.1019708449824344</v>
      </c>
      <c r="AI18" s="31">
        <f t="shared" si="20"/>
        <v>3.1043680403804115</v>
      </c>
      <c r="AJ18" s="31">
        <f t="shared" si="21"/>
        <v>3.1031694426814229</v>
      </c>
      <c r="AK18" s="31">
        <f t="shared" si="22"/>
        <v>3.1037687415309172</v>
      </c>
      <c r="AL18" s="31">
        <f t="shared" si="23"/>
        <v>3.1040683909556646</v>
      </c>
      <c r="AM18" s="31">
        <f t="shared" si="24"/>
        <v>3.104218215668038</v>
      </c>
      <c r="AN18" s="31">
        <f t="shared" si="25"/>
        <v>3.1042931280242247</v>
      </c>
      <c r="AO18" s="31">
        <f t="shared" si="26"/>
        <v>3.1043305842023181</v>
      </c>
      <c r="AP18" s="31">
        <f t="shared" si="27"/>
        <v>3.1043118561132714</v>
      </c>
      <c r="AQ18" s="31">
        <f t="shared" si="28"/>
        <v>3.1043212201577948</v>
      </c>
      <c r="AR18" s="31">
        <f t="shared" si="29"/>
        <v>3.1043259021800567</v>
      </c>
      <c r="AS18" s="31">
        <f t="shared" si="30"/>
        <v>3.1043235611689259</v>
      </c>
      <c r="AT18" s="31">
        <f t="shared" si="31"/>
        <v>3.1043223906633606</v>
      </c>
      <c r="AU18" s="31">
        <f t="shared" si="32"/>
        <v>3.1043218054105779</v>
      </c>
    </row>
    <row r="19" spans="2:47" ht="22.95" customHeight="1" x14ac:dyDescent="0.3">
      <c r="B19" s="21" t="s">
        <v>273</v>
      </c>
      <c r="C19" s="29">
        <f>IF(AND(Inputs!E33="OK",Inputs!E34="OK"),Inputs!C33*Inputs!C34*7/20,NA())</f>
        <v>126</v>
      </c>
      <c r="D19" s="29">
        <f>0</f>
        <v>0</v>
      </c>
      <c r="E19" s="29">
        <f>1</f>
        <v>1</v>
      </c>
      <c r="F19" s="29">
        <v>1</v>
      </c>
      <c r="G19" s="29">
        <f t="shared" si="0"/>
        <v>35</v>
      </c>
      <c r="H19" s="29">
        <f>IF(Inputs!E27="OK",0.5*Inputs!C27*Inputs!C58*G19^2,NA())</f>
        <v>4.8020000000000005</v>
      </c>
      <c r="I19" s="29">
        <f>IF(F19=0,0,H19+Inputs!C55*D19)</f>
        <v>4.8020000000000005</v>
      </c>
      <c r="J19" s="29">
        <f>IF(F19=0,0,IF(AND(ISNUMBER(E19),E19&gt;=1,E19&lt;=10),Inputs!C56*E19,NA()))</f>
        <v>11.4370055625</v>
      </c>
      <c r="K19" s="29">
        <f t="shared" si="1"/>
        <v>12.404204941738746</v>
      </c>
      <c r="L19" s="29">
        <f t="shared" si="2"/>
        <v>22.775837396029107</v>
      </c>
      <c r="M19" s="29">
        <f t="shared" si="3"/>
        <v>13.549437532627625</v>
      </c>
      <c r="N19" s="29">
        <f t="shared" si="4"/>
        <v>32.270927203125446</v>
      </c>
      <c r="O19" s="29">
        <f>IF(F19=0,0,IF(Inputs!E27="OK",SQRT(K19/(2*Inputs!C27*Inputs!C57)),NA()))</f>
        <v>9.9959198925128376</v>
      </c>
      <c r="P19" s="29">
        <f t="shared" si="5"/>
        <v>2.7632610184841142</v>
      </c>
      <c r="Q19" s="29">
        <f t="shared" si="6"/>
        <v>34.276055980794688</v>
      </c>
      <c r="R19" s="29">
        <f t="shared" si="7"/>
        <v>168.07000000000002</v>
      </c>
      <c r="S19" s="29">
        <f>IF(F19=0,0,IF(Inputs!E30="OK",SUM(Q19:R19)/Inputs!C30,NA()))</f>
        <v>311.301624585838</v>
      </c>
      <c r="T19" s="29">
        <f>IF(AND(Inputs!E31="OK",Inputs!E32="OK"),S19/Inputs!C31+Inputs!C32,NA())</f>
        <v>363.89069398426443</v>
      </c>
      <c r="U19" s="29">
        <f>T19/Inputs!C62</f>
        <v>17.328128284964972</v>
      </c>
      <c r="V19" s="29">
        <f>IF(Inputs!E25="OK",(T19-Inputs!C32)/Inputs!C25,NA())</f>
        <v>86.472673496066108</v>
      </c>
      <c r="W19" s="30">
        <f t="shared" si="8"/>
        <v>6.4420052864183214E-8</v>
      </c>
      <c r="X19" s="31">
        <f t="shared" si="9"/>
        <v>4.9979599462564188</v>
      </c>
      <c r="Y19" s="31">
        <f t="shared" si="10"/>
        <v>2.4989799731282094</v>
      </c>
      <c r="Z19" s="31">
        <f t="shared" si="11"/>
        <v>3.7484699596923141</v>
      </c>
      <c r="AA19" s="31">
        <f t="shared" si="12"/>
        <v>3.1237249664102618</v>
      </c>
      <c r="AB19" s="31">
        <f t="shared" si="13"/>
        <v>2.8113524697692354</v>
      </c>
      <c r="AC19" s="31">
        <f t="shared" si="14"/>
        <v>2.6551662214487224</v>
      </c>
      <c r="AD19" s="31">
        <f t="shared" si="15"/>
        <v>2.7332593456089791</v>
      </c>
      <c r="AE19" s="31">
        <f t="shared" si="16"/>
        <v>2.7723059076891072</v>
      </c>
      <c r="AF19" s="31">
        <f t="shared" si="17"/>
        <v>2.7527826266490432</v>
      </c>
      <c r="AG19" s="31">
        <f t="shared" si="18"/>
        <v>2.7625442671690754</v>
      </c>
      <c r="AH19" s="31">
        <f t="shared" si="19"/>
        <v>2.7674250874290913</v>
      </c>
      <c r="AI19" s="31">
        <f t="shared" si="20"/>
        <v>2.7649846772990831</v>
      </c>
      <c r="AJ19" s="31">
        <f t="shared" si="21"/>
        <v>2.7637644722340791</v>
      </c>
      <c r="AK19" s="31">
        <f t="shared" si="22"/>
        <v>2.763154369701577</v>
      </c>
      <c r="AL19" s="31">
        <f t="shared" si="23"/>
        <v>2.7634594209678278</v>
      </c>
      <c r="AM19" s="31">
        <f t="shared" si="24"/>
        <v>2.7633068953347024</v>
      </c>
      <c r="AN19" s="31">
        <f t="shared" si="25"/>
        <v>2.7632306325181397</v>
      </c>
      <c r="AO19" s="31">
        <f t="shared" si="26"/>
        <v>2.7632687639264213</v>
      </c>
      <c r="AP19" s="31">
        <f t="shared" si="27"/>
        <v>2.7632496982222805</v>
      </c>
      <c r="AQ19" s="31">
        <f t="shared" si="28"/>
        <v>2.7632592310743509</v>
      </c>
      <c r="AR19" s="31">
        <f t="shared" si="29"/>
        <v>2.7632639975003861</v>
      </c>
      <c r="AS19" s="31">
        <f t="shared" si="30"/>
        <v>2.7632616142873685</v>
      </c>
      <c r="AT19" s="31">
        <f t="shared" si="31"/>
        <v>2.7632604226808599</v>
      </c>
      <c r="AU19" s="31">
        <f t="shared" si="32"/>
        <v>2.7632610184841142</v>
      </c>
    </row>
    <row r="20" spans="2:47" ht="22.95" customHeight="1" x14ac:dyDescent="0.3">
      <c r="B20" s="21" t="s">
        <v>274</v>
      </c>
      <c r="C20" s="29">
        <f>IF(AND(Inputs!E33="OK",Inputs!E34="OK"),Inputs!C33*Inputs!C34*8/20,NA())</f>
        <v>144</v>
      </c>
      <c r="D20" s="29">
        <f>0</f>
        <v>0</v>
      </c>
      <c r="E20" s="29">
        <f>1</f>
        <v>1</v>
      </c>
      <c r="F20" s="29">
        <v>1</v>
      </c>
      <c r="G20" s="29">
        <f t="shared" si="0"/>
        <v>40</v>
      </c>
      <c r="H20" s="29">
        <f>IF(Inputs!E27="OK",0.5*Inputs!C27*Inputs!C58*G20^2,NA())</f>
        <v>6.2720000000000011</v>
      </c>
      <c r="I20" s="29">
        <f>IF(F20=0,0,H20+Inputs!C55*D20)</f>
        <v>6.2720000000000011</v>
      </c>
      <c r="J20" s="29">
        <f>IF(F20=0,0,IF(AND(ISNUMBER(E20),E20&gt;=1,E20&lt;=10),Inputs!C56*E20,NA()))</f>
        <v>11.4370055625</v>
      </c>
      <c r="K20" s="29">
        <f t="shared" si="1"/>
        <v>13.043890532991142</v>
      </c>
      <c r="L20" s="29">
        <f t="shared" si="2"/>
        <v>28.740156262443239</v>
      </c>
      <c r="M20" s="29">
        <f t="shared" si="3"/>
        <v>19.233525409115025</v>
      </c>
      <c r="N20" s="29">
        <f t="shared" si="4"/>
        <v>35.072375173873333</v>
      </c>
      <c r="O20" s="29">
        <f>IF(F20=0,0,IF(Inputs!E27="OK",SQRT(K20/(2*Inputs!C27*Inputs!C57)),NA()))</f>
        <v>10.250425021110674</v>
      </c>
      <c r="P20" s="29">
        <f t="shared" si="5"/>
        <v>2.5450756086476956</v>
      </c>
      <c r="Q20" s="29">
        <f t="shared" si="6"/>
        <v>33.197687637386345</v>
      </c>
      <c r="R20" s="29">
        <f t="shared" si="7"/>
        <v>250.88000000000005</v>
      </c>
      <c r="S20" s="29">
        <f>IF(F20=0,0,IF(Inputs!E30="OK",SUM(Q20:R20)/Inputs!C30,NA()))</f>
        <v>437.04259636520987</v>
      </c>
      <c r="T20" s="29">
        <f>IF(AND(Inputs!E31="OK",Inputs!E32="OK"),S20/Inputs!C31+Inputs!C32,NA())</f>
        <v>503.60288485023318</v>
      </c>
      <c r="U20" s="29">
        <f>T20/Inputs!C62</f>
        <v>23.981089754773009</v>
      </c>
      <c r="V20" s="29">
        <f>IF(Inputs!E25="OK",(T20-Inputs!C32)/Inputs!C25,NA())</f>
        <v>121.4007212125583</v>
      </c>
      <c r="W20" s="30">
        <f t="shared" si="8"/>
        <v>5.7151358528199067E-8</v>
      </c>
      <c r="X20" s="31">
        <f t="shared" si="9"/>
        <v>5.125212510555337</v>
      </c>
      <c r="Y20" s="31">
        <f t="shared" si="10"/>
        <v>2.5626062552776685</v>
      </c>
      <c r="Z20" s="31">
        <f t="shared" si="11"/>
        <v>1.2813031276388342</v>
      </c>
      <c r="AA20" s="31">
        <f t="shared" si="12"/>
        <v>1.9219546914582515</v>
      </c>
      <c r="AB20" s="31">
        <f t="shared" si="13"/>
        <v>2.24228047336796</v>
      </c>
      <c r="AC20" s="31">
        <f t="shared" si="14"/>
        <v>2.4024433643228145</v>
      </c>
      <c r="AD20" s="31">
        <f t="shared" si="15"/>
        <v>2.4825248098002417</v>
      </c>
      <c r="AE20" s="31">
        <f t="shared" si="16"/>
        <v>2.5225655325389553</v>
      </c>
      <c r="AF20" s="31">
        <f t="shared" si="17"/>
        <v>2.5425858939083121</v>
      </c>
      <c r="AG20" s="31">
        <f t="shared" si="18"/>
        <v>2.5525960745929903</v>
      </c>
      <c r="AH20" s="31">
        <f t="shared" si="19"/>
        <v>2.5475909842506512</v>
      </c>
      <c r="AI20" s="31">
        <f t="shared" si="20"/>
        <v>2.5450884390794815</v>
      </c>
      <c r="AJ20" s="31">
        <f t="shared" si="21"/>
        <v>2.5438371664938968</v>
      </c>
      <c r="AK20" s="31">
        <f t="shared" si="22"/>
        <v>2.5444628027866893</v>
      </c>
      <c r="AL20" s="31">
        <f t="shared" si="23"/>
        <v>2.5447756209330854</v>
      </c>
      <c r="AM20" s="31">
        <f t="shared" si="24"/>
        <v>2.5449320300062834</v>
      </c>
      <c r="AN20" s="31">
        <f t="shared" si="25"/>
        <v>2.5450102345428824</v>
      </c>
      <c r="AO20" s="31">
        <f t="shared" si="26"/>
        <v>2.5450493368111822</v>
      </c>
      <c r="AP20" s="31">
        <f t="shared" si="27"/>
        <v>2.545068887945332</v>
      </c>
      <c r="AQ20" s="31">
        <f t="shared" si="28"/>
        <v>2.545078663512407</v>
      </c>
      <c r="AR20" s="31">
        <f t="shared" si="29"/>
        <v>2.5450737757288695</v>
      </c>
      <c r="AS20" s="31">
        <f t="shared" si="30"/>
        <v>2.545076219620638</v>
      </c>
      <c r="AT20" s="31">
        <f t="shared" si="31"/>
        <v>2.5450749976747535</v>
      </c>
      <c r="AU20" s="31">
        <f t="shared" si="32"/>
        <v>2.5450756086476956</v>
      </c>
    </row>
    <row r="21" spans="2:47" ht="22.95" customHeight="1" x14ac:dyDescent="0.3">
      <c r="B21" s="21" t="s">
        <v>275</v>
      </c>
      <c r="C21" s="29">
        <f>IF(AND(Inputs!E33="OK",Inputs!E34="OK"),Inputs!C33*Inputs!C34*9/20,NA())</f>
        <v>162</v>
      </c>
      <c r="D21" s="29">
        <f>0</f>
        <v>0</v>
      </c>
      <c r="E21" s="29">
        <f>1</f>
        <v>1</v>
      </c>
      <c r="F21" s="29">
        <v>1</v>
      </c>
      <c r="G21" s="29">
        <f t="shared" si="0"/>
        <v>45</v>
      </c>
      <c r="H21" s="29">
        <f>IF(Inputs!E27="OK",0.5*Inputs!C27*Inputs!C58*G21^2,NA())</f>
        <v>7.9380000000000015</v>
      </c>
      <c r="I21" s="29">
        <f>IF(F21=0,0,H21+Inputs!C55*D21)</f>
        <v>7.9380000000000015</v>
      </c>
      <c r="J21" s="29">
        <f>IF(F21=0,0,IF(AND(ISNUMBER(E21),E21&gt;=1,E21&lt;=10),Inputs!C56*E21,NA()))</f>
        <v>11.4370055625</v>
      </c>
      <c r="K21" s="29">
        <f t="shared" si="1"/>
        <v>13.921815263702358</v>
      </c>
      <c r="L21" s="29">
        <f t="shared" si="2"/>
        <v>34.763076093471348</v>
      </c>
      <c r="M21" s="29">
        <f t="shared" si="3"/>
        <v>25.658291913363882</v>
      </c>
      <c r="N21" s="29">
        <f t="shared" si="4"/>
        <v>36.968257412117843</v>
      </c>
      <c r="O21" s="29">
        <f>IF(F21=0,0,IF(Inputs!E27="OK",SQRT(K21/(2*Inputs!C27*Inputs!C57)),NA()))</f>
        <v>10.589762832688544</v>
      </c>
      <c r="P21" s="29">
        <f t="shared" si="5"/>
        <v>2.4158392584525537</v>
      </c>
      <c r="Q21" s="29">
        <f t="shared" si="6"/>
        <v>33.632867862976148</v>
      </c>
      <c r="R21" s="29">
        <f t="shared" si="7"/>
        <v>357.21000000000009</v>
      </c>
      <c r="S21" s="29">
        <f>IF(F21=0,0,IF(Inputs!E30="OK",SUM(Q21:R21)/Inputs!C30,NA()))</f>
        <v>601.29671978919419</v>
      </c>
      <c r="T21" s="29">
        <f>IF(AND(Inputs!E31="OK",Inputs!E32="OK"),S21/Inputs!C31+Inputs!C32,NA())</f>
        <v>686.10746643243795</v>
      </c>
      <c r="U21" s="29">
        <f>T21/Inputs!C62</f>
        <v>32.671784115830377</v>
      </c>
      <c r="V21" s="29">
        <f>IF(Inputs!E25="OK",(T21-Inputs!C32)/Inputs!C25,NA())</f>
        <v>167.02686660810949</v>
      </c>
      <c r="W21" s="30">
        <f t="shared" si="8"/>
        <v>-1.2226612164122724E-7</v>
      </c>
      <c r="X21" s="31">
        <f t="shared" si="9"/>
        <v>5.2948814163442721</v>
      </c>
      <c r="Y21" s="31">
        <f t="shared" si="10"/>
        <v>2.6474407081721361</v>
      </c>
      <c r="Z21" s="31">
        <f t="shared" si="11"/>
        <v>1.323720354086068</v>
      </c>
      <c r="AA21" s="31">
        <f t="shared" si="12"/>
        <v>1.9855805311291022</v>
      </c>
      <c r="AB21" s="31">
        <f t="shared" si="13"/>
        <v>2.3165106196506193</v>
      </c>
      <c r="AC21" s="31">
        <f t="shared" si="14"/>
        <v>2.4819756639113777</v>
      </c>
      <c r="AD21" s="31">
        <f t="shared" si="15"/>
        <v>2.3992431417809983</v>
      </c>
      <c r="AE21" s="31">
        <f t="shared" si="16"/>
        <v>2.4406094028461878</v>
      </c>
      <c r="AF21" s="31">
        <f t="shared" si="17"/>
        <v>2.4199262723135928</v>
      </c>
      <c r="AG21" s="31">
        <f t="shared" si="18"/>
        <v>2.4095847070472955</v>
      </c>
      <c r="AH21" s="31">
        <f t="shared" si="19"/>
        <v>2.4147554896804442</v>
      </c>
      <c r="AI21" s="31">
        <f t="shared" si="20"/>
        <v>2.4173408809970187</v>
      </c>
      <c r="AJ21" s="31">
        <f t="shared" si="21"/>
        <v>2.4160481853387314</v>
      </c>
      <c r="AK21" s="31">
        <f t="shared" si="22"/>
        <v>2.415401837509588</v>
      </c>
      <c r="AL21" s="31">
        <f t="shared" si="23"/>
        <v>2.41572501142416</v>
      </c>
      <c r="AM21" s="31">
        <f t="shared" si="24"/>
        <v>2.4158865983814457</v>
      </c>
      <c r="AN21" s="31">
        <f t="shared" si="25"/>
        <v>2.4158058049028028</v>
      </c>
      <c r="AO21" s="31">
        <f t="shared" si="26"/>
        <v>2.4158462016421245</v>
      </c>
      <c r="AP21" s="31">
        <f t="shared" si="27"/>
        <v>2.4158260032724637</v>
      </c>
      <c r="AQ21" s="31">
        <f t="shared" si="28"/>
        <v>2.4158361024572939</v>
      </c>
      <c r="AR21" s="31">
        <f t="shared" si="29"/>
        <v>2.4158411520497092</v>
      </c>
      <c r="AS21" s="31">
        <f t="shared" si="30"/>
        <v>2.4158386272535015</v>
      </c>
      <c r="AT21" s="31">
        <f t="shared" si="31"/>
        <v>2.4158398896516053</v>
      </c>
      <c r="AU21" s="31">
        <f t="shared" si="32"/>
        <v>2.4158392584525537</v>
      </c>
    </row>
    <row r="22" spans="2:47" ht="22.95" customHeight="1" x14ac:dyDescent="0.3">
      <c r="B22" s="21" t="s">
        <v>276</v>
      </c>
      <c r="C22" s="29">
        <f>IF(AND(Inputs!E33="OK",Inputs!E34="OK"),Inputs!C33*Inputs!C34*10/20,NA())</f>
        <v>180</v>
      </c>
      <c r="D22" s="29">
        <f>0</f>
        <v>0</v>
      </c>
      <c r="E22" s="29">
        <f>1</f>
        <v>1</v>
      </c>
      <c r="F22" s="29">
        <v>1</v>
      </c>
      <c r="G22" s="29">
        <f t="shared" si="0"/>
        <v>50</v>
      </c>
      <c r="H22" s="29">
        <f>IF(Inputs!E27="OK",0.5*Inputs!C27*Inputs!C58*G22^2,NA())</f>
        <v>9.8000000000000025</v>
      </c>
      <c r="I22" s="29">
        <f>IF(F22=0,0,H22+Inputs!C55*D22)</f>
        <v>9.8000000000000025</v>
      </c>
      <c r="J22" s="29">
        <f>IF(F22=0,0,IF(AND(ISNUMBER(E22),E22&gt;=1,E22&lt;=10),Inputs!C56*E22,NA()))</f>
        <v>11.4370055625</v>
      </c>
      <c r="K22" s="29">
        <f t="shared" si="1"/>
        <v>15.061377634089652</v>
      </c>
      <c r="L22" s="29">
        <f t="shared" si="2"/>
        <v>40.59220327151526</v>
      </c>
      <c r="M22" s="29">
        <f t="shared" si="3"/>
        <v>32.533544533864081</v>
      </c>
      <c r="N22" s="29">
        <f t="shared" si="4"/>
        <v>37.967992836902532</v>
      </c>
      <c r="O22" s="29">
        <f>IF(F22=0,0,IF(Inputs!E27="OK",SQRT(K22/(2*Inputs!C27*Inputs!C57)),NA()))</f>
        <v>11.014648674950175</v>
      </c>
      <c r="P22" s="29">
        <f t="shared" si="5"/>
        <v>2.3529453883199078</v>
      </c>
      <c r="Q22" s="29">
        <f t="shared" si="6"/>
        <v>35.438599045875854</v>
      </c>
      <c r="R22" s="29">
        <f t="shared" si="7"/>
        <v>490.00000000000011</v>
      </c>
      <c r="S22" s="29">
        <f>IF(F22=0,0,IF(Inputs!E30="OK",SUM(Q22:R22)/Inputs!C30,NA()))</f>
        <v>808.3670754551938</v>
      </c>
      <c r="T22" s="29">
        <f>IF(AND(Inputs!E31="OK",Inputs!E32="OK"),S22/Inputs!C31+Inputs!C32,NA())</f>
        <v>916.1856393946598</v>
      </c>
      <c r="U22" s="29">
        <f>T22/Inputs!C62</f>
        <v>43.627887590221896</v>
      </c>
      <c r="V22" s="29">
        <f>IF(Inputs!E25="OK",(T22-Inputs!C32)/Inputs!C25,NA())</f>
        <v>224.54640984866495</v>
      </c>
      <c r="W22" s="30">
        <f t="shared" si="8"/>
        <v>-8.9054295586433013E-8</v>
      </c>
      <c r="X22" s="31">
        <f t="shared" si="9"/>
        <v>5.5073243374750875</v>
      </c>
      <c r="Y22" s="31">
        <f t="shared" si="10"/>
        <v>2.7536621687375438</v>
      </c>
      <c r="Z22" s="31">
        <f t="shared" si="11"/>
        <v>1.3768310843687719</v>
      </c>
      <c r="AA22" s="31">
        <f t="shared" si="12"/>
        <v>2.0652466265531579</v>
      </c>
      <c r="AB22" s="31">
        <f t="shared" si="13"/>
        <v>2.4094543976453511</v>
      </c>
      <c r="AC22" s="31">
        <f t="shared" si="14"/>
        <v>2.2373505120992547</v>
      </c>
      <c r="AD22" s="31">
        <f t="shared" si="15"/>
        <v>2.3234024548723031</v>
      </c>
      <c r="AE22" s="31">
        <f t="shared" si="16"/>
        <v>2.3664284262588273</v>
      </c>
      <c r="AF22" s="31">
        <f t="shared" si="17"/>
        <v>2.3449154405655652</v>
      </c>
      <c r="AG22" s="31">
        <f t="shared" si="18"/>
        <v>2.3556719334121961</v>
      </c>
      <c r="AH22" s="31">
        <f t="shared" si="19"/>
        <v>2.3502936869888806</v>
      </c>
      <c r="AI22" s="31">
        <f t="shared" si="20"/>
        <v>2.3529828102005386</v>
      </c>
      <c r="AJ22" s="31">
        <f t="shared" si="21"/>
        <v>2.3516382485947096</v>
      </c>
      <c r="AK22" s="31">
        <f t="shared" si="22"/>
        <v>2.3523105293976241</v>
      </c>
      <c r="AL22" s="31">
        <f t="shared" si="23"/>
        <v>2.3526466697990811</v>
      </c>
      <c r="AM22" s="31">
        <f t="shared" si="24"/>
        <v>2.3528147399998098</v>
      </c>
      <c r="AN22" s="31">
        <f t="shared" si="25"/>
        <v>2.352898775100174</v>
      </c>
      <c r="AO22" s="31">
        <f t="shared" si="26"/>
        <v>2.3529407926503563</v>
      </c>
      <c r="AP22" s="31">
        <f t="shared" si="27"/>
        <v>2.3529618014254474</v>
      </c>
      <c r="AQ22" s="31">
        <f t="shared" si="28"/>
        <v>2.3529512970379018</v>
      </c>
      <c r="AR22" s="31">
        <f t="shared" si="29"/>
        <v>2.3529460448441291</v>
      </c>
      <c r="AS22" s="31">
        <f t="shared" si="30"/>
        <v>2.3529434187472429</v>
      </c>
      <c r="AT22" s="31">
        <f t="shared" si="31"/>
        <v>2.3529447317956862</v>
      </c>
      <c r="AU22" s="31">
        <f t="shared" si="32"/>
        <v>2.3529453883199078</v>
      </c>
    </row>
    <row r="23" spans="2:47" ht="22.95" customHeight="1" x14ac:dyDescent="0.3">
      <c r="B23" s="21" t="s">
        <v>277</v>
      </c>
      <c r="C23" s="29">
        <f>IF(AND(Inputs!E33="OK",Inputs!E34="OK"),Inputs!C33*Inputs!C34*11/20,NA())</f>
        <v>198</v>
      </c>
      <c r="D23" s="29">
        <f>0</f>
        <v>0</v>
      </c>
      <c r="E23" s="29">
        <f>1</f>
        <v>1</v>
      </c>
      <c r="F23" s="29">
        <v>1</v>
      </c>
      <c r="G23" s="29">
        <f t="shared" si="0"/>
        <v>55</v>
      </c>
      <c r="H23" s="29">
        <f>IF(Inputs!E27="OK",0.5*Inputs!C27*Inputs!C58*G23^2,NA())</f>
        <v>11.858000000000002</v>
      </c>
      <c r="I23" s="29">
        <f>IF(F23=0,0,H23+Inputs!C55*D23)</f>
        <v>11.858000000000002</v>
      </c>
      <c r="J23" s="29">
        <f>IF(F23=0,0,IF(AND(ISNUMBER(E23),E23&gt;=1,E23&lt;=10),Inputs!C56*E23,NA()))</f>
        <v>11.4370055625</v>
      </c>
      <c r="K23" s="29">
        <f t="shared" si="1"/>
        <v>16.474746135727131</v>
      </c>
      <c r="L23" s="29">
        <f t="shared" si="2"/>
        <v>46.035354074331437</v>
      </c>
      <c r="M23" s="29">
        <f t="shared" si="3"/>
        <v>39.587256436423083</v>
      </c>
      <c r="N23" s="29">
        <f t="shared" si="4"/>
        <v>38.181790526858208</v>
      </c>
      <c r="O23" s="29">
        <f>IF(F23=0,0,IF(Inputs!E27="OK",SQRT(K23/(2*Inputs!C27*Inputs!C57)),NA()))</f>
        <v>11.519872332120949</v>
      </c>
      <c r="P23" s="29">
        <f t="shared" si="5"/>
        <v>2.3402027178821738</v>
      </c>
      <c r="Q23" s="29">
        <f t="shared" si="6"/>
        <v>38.554245683247473</v>
      </c>
      <c r="R23" s="29">
        <f t="shared" si="7"/>
        <v>652.19000000000017</v>
      </c>
      <c r="S23" s="29">
        <f>IF(F23=0,0,IF(Inputs!E30="OK",SUM(Q23:R23)/Inputs!C30,NA()))</f>
        <v>1062.683454897304</v>
      </c>
      <c r="T23" s="29">
        <f>IF(AND(Inputs!E31="OK",Inputs!E32="OK"),S23/Inputs!C31+Inputs!C32,NA())</f>
        <v>1198.7593943303377</v>
      </c>
      <c r="U23" s="29">
        <f>T23/Inputs!C62</f>
        <v>57.083780682397034</v>
      </c>
      <c r="V23" s="29">
        <f>IF(Inputs!E25="OK",(T23-Inputs!C32)/Inputs!C25,NA())</f>
        <v>295.18984858258443</v>
      </c>
      <c r="W23" s="30">
        <f t="shared" si="8"/>
        <v>6.0769923530378408E-8</v>
      </c>
      <c r="X23" s="31">
        <f t="shared" si="9"/>
        <v>5.7599361660604744</v>
      </c>
      <c r="Y23" s="31">
        <f t="shared" si="10"/>
        <v>2.8799680830302372</v>
      </c>
      <c r="Z23" s="31">
        <f t="shared" si="11"/>
        <v>1.4399840415151186</v>
      </c>
      <c r="AA23" s="31">
        <f t="shared" si="12"/>
        <v>2.159976062272678</v>
      </c>
      <c r="AB23" s="31">
        <f t="shared" si="13"/>
        <v>2.5199720726514578</v>
      </c>
      <c r="AC23" s="31">
        <f t="shared" si="14"/>
        <v>2.3399740674620682</v>
      </c>
      <c r="AD23" s="31">
        <f t="shared" si="15"/>
        <v>2.429973070056763</v>
      </c>
      <c r="AE23" s="31">
        <f t="shared" si="16"/>
        <v>2.3849735687594156</v>
      </c>
      <c r="AF23" s="31">
        <f t="shared" si="17"/>
        <v>2.3624738181107419</v>
      </c>
      <c r="AG23" s="31">
        <f t="shared" si="18"/>
        <v>2.351223942786405</v>
      </c>
      <c r="AH23" s="31">
        <f t="shared" si="19"/>
        <v>2.3455990051242366</v>
      </c>
      <c r="AI23" s="31">
        <f t="shared" si="20"/>
        <v>2.3427865362931524</v>
      </c>
      <c r="AJ23" s="31">
        <f t="shared" si="21"/>
        <v>2.34138030187761</v>
      </c>
      <c r="AK23" s="31">
        <f t="shared" si="22"/>
        <v>2.3406771846698389</v>
      </c>
      <c r="AL23" s="31">
        <f t="shared" si="23"/>
        <v>2.3403256260659533</v>
      </c>
      <c r="AM23" s="31">
        <f t="shared" si="24"/>
        <v>2.3401498467640107</v>
      </c>
      <c r="AN23" s="31">
        <f t="shared" si="25"/>
        <v>2.340237736414982</v>
      </c>
      <c r="AO23" s="31">
        <f t="shared" si="26"/>
        <v>2.3401937915894964</v>
      </c>
      <c r="AP23" s="31">
        <f t="shared" si="27"/>
        <v>2.3402157640022394</v>
      </c>
      <c r="AQ23" s="31">
        <f t="shared" si="28"/>
        <v>2.3402047777958681</v>
      </c>
      <c r="AR23" s="31">
        <f t="shared" si="29"/>
        <v>2.3401992846926825</v>
      </c>
      <c r="AS23" s="31">
        <f t="shared" si="30"/>
        <v>2.3402020312442753</v>
      </c>
      <c r="AT23" s="31">
        <f t="shared" si="31"/>
        <v>2.3402034045200719</v>
      </c>
      <c r="AU23" s="31">
        <f t="shared" si="32"/>
        <v>2.3402027178821738</v>
      </c>
    </row>
    <row r="24" spans="2:47" ht="22.95" customHeight="1" x14ac:dyDescent="0.3">
      <c r="B24" s="21" t="s">
        <v>278</v>
      </c>
      <c r="C24" s="29">
        <f>IF(AND(Inputs!E33="OK",Inputs!E34="OK"),Inputs!C33*Inputs!C34*12/20,NA())</f>
        <v>216</v>
      </c>
      <c r="D24" s="29">
        <f>0</f>
        <v>0</v>
      </c>
      <c r="E24" s="29">
        <f>1</f>
        <v>1</v>
      </c>
      <c r="F24" s="29">
        <v>1</v>
      </c>
      <c r="G24" s="29">
        <f t="shared" si="0"/>
        <v>60</v>
      </c>
      <c r="H24" s="29">
        <f>IF(Inputs!E27="OK",0.5*Inputs!C27*Inputs!C58*G24^2,NA())</f>
        <v>14.112000000000002</v>
      </c>
      <c r="I24" s="29">
        <f>IF(F24=0,0,H24+Inputs!C55*D24)</f>
        <v>14.112000000000002</v>
      </c>
      <c r="J24" s="29">
        <f>IF(F24=0,0,IF(AND(ISNUMBER(E24),E24&gt;=1,E24&lt;=10),Inputs!C56*E24,NA()))</f>
        <v>11.4370055625</v>
      </c>
      <c r="K24" s="29">
        <f t="shared" si="1"/>
        <v>18.164626069276956</v>
      </c>
      <c r="L24" s="29">
        <f t="shared" si="2"/>
        <v>50.97712119414826</v>
      </c>
      <c r="M24" s="29">
        <f t="shared" si="3"/>
        <v>46.613676316305472</v>
      </c>
      <c r="N24" s="29">
        <f t="shared" si="4"/>
        <v>37.777839804291389</v>
      </c>
      <c r="O24" s="29">
        <f>IF(F24=0,0,IF(Inputs!E27="OK",SQRT(K24/(2*Inputs!C27*Inputs!C57)),NA()))</f>
        <v>12.096271654999542</v>
      </c>
      <c r="P24" s="29">
        <f t="shared" si="5"/>
        <v>2.3655026439692439</v>
      </c>
      <c r="Q24" s="29">
        <f t="shared" si="6"/>
        <v>42.968470993587296</v>
      </c>
      <c r="R24" s="29">
        <f t="shared" si="7"/>
        <v>846.72000000000014</v>
      </c>
      <c r="S24" s="29">
        <f>IF(F24=0,0,IF(Inputs!E30="OK",SUM(Q24:R24)/Inputs!C30,NA()))</f>
        <v>1368.7514938362883</v>
      </c>
      <c r="T24" s="29">
        <f>IF(AND(Inputs!E31="OK",Inputs!E32="OK"),S24/Inputs!C31+Inputs!C32,NA())</f>
        <v>1538.8349931514315</v>
      </c>
      <c r="U24" s="29">
        <f>T24/Inputs!C62</f>
        <v>73.27785681673484</v>
      </c>
      <c r="V24" s="29">
        <f>IF(Inputs!E25="OK",(T24-Inputs!C32)/Inputs!C25,NA())</f>
        <v>380.20874828785787</v>
      </c>
      <c r="W24" s="30">
        <f t="shared" si="8"/>
        <v>-9.0879366149156183E-8</v>
      </c>
      <c r="X24" s="31">
        <f t="shared" si="9"/>
        <v>6.0481358274997712</v>
      </c>
      <c r="Y24" s="31">
        <f t="shared" si="10"/>
        <v>3.0240679137498856</v>
      </c>
      <c r="Z24" s="31">
        <f t="shared" si="11"/>
        <v>1.5120339568749428</v>
      </c>
      <c r="AA24" s="31">
        <f t="shared" si="12"/>
        <v>2.2680509353124143</v>
      </c>
      <c r="AB24" s="31">
        <f t="shared" si="13"/>
        <v>2.64605942453115</v>
      </c>
      <c r="AC24" s="31">
        <f t="shared" si="14"/>
        <v>2.4570551799217819</v>
      </c>
      <c r="AD24" s="31">
        <f t="shared" si="15"/>
        <v>2.3625530576170979</v>
      </c>
      <c r="AE24" s="31">
        <f t="shared" si="16"/>
        <v>2.4098041187694399</v>
      </c>
      <c r="AF24" s="31">
        <f t="shared" si="17"/>
        <v>2.3861785881932689</v>
      </c>
      <c r="AG24" s="31">
        <f t="shared" si="18"/>
        <v>2.3743658229051836</v>
      </c>
      <c r="AH24" s="31">
        <f t="shared" si="19"/>
        <v>2.368459440261141</v>
      </c>
      <c r="AI24" s="31">
        <f t="shared" si="20"/>
        <v>2.3655062489391194</v>
      </c>
      <c r="AJ24" s="31">
        <f t="shared" si="21"/>
        <v>2.3640296532781089</v>
      </c>
      <c r="AK24" s="31">
        <f t="shared" si="22"/>
        <v>2.3647679511086142</v>
      </c>
      <c r="AL24" s="31">
        <f t="shared" si="23"/>
        <v>2.3651371000238668</v>
      </c>
      <c r="AM24" s="31">
        <f t="shared" si="24"/>
        <v>2.3653216744814931</v>
      </c>
      <c r="AN24" s="31">
        <f t="shared" si="25"/>
        <v>2.3654139617103063</v>
      </c>
      <c r="AO24" s="31">
        <f t="shared" si="26"/>
        <v>2.3654601053247131</v>
      </c>
      <c r="AP24" s="31">
        <f t="shared" si="27"/>
        <v>2.3654831771319165</v>
      </c>
      <c r="AQ24" s="31">
        <f t="shared" si="28"/>
        <v>2.3654947130355182</v>
      </c>
      <c r="AR24" s="31">
        <f t="shared" si="29"/>
        <v>2.3655004809873188</v>
      </c>
      <c r="AS24" s="31">
        <f t="shared" si="30"/>
        <v>2.3655033649632191</v>
      </c>
      <c r="AT24" s="31">
        <f t="shared" si="31"/>
        <v>2.3655019229752687</v>
      </c>
      <c r="AU24" s="31">
        <f t="shared" si="32"/>
        <v>2.3655026439692439</v>
      </c>
    </row>
    <row r="25" spans="2:47" ht="22.95" customHeight="1" x14ac:dyDescent="0.3">
      <c r="B25" s="21" t="s">
        <v>279</v>
      </c>
      <c r="C25" s="29">
        <f>IF(AND(Inputs!E33="OK",Inputs!E34="OK"),Inputs!C33*Inputs!C34*13/20,NA())</f>
        <v>234</v>
      </c>
      <c r="D25" s="29">
        <f>0</f>
        <v>0</v>
      </c>
      <c r="E25" s="29">
        <f>1</f>
        <v>1</v>
      </c>
      <c r="F25" s="29">
        <v>1</v>
      </c>
      <c r="G25" s="29">
        <f t="shared" si="0"/>
        <v>65</v>
      </c>
      <c r="H25" s="29">
        <f>IF(Inputs!E27="OK",0.5*Inputs!C27*Inputs!C58*G25^2,NA())</f>
        <v>16.562000000000005</v>
      </c>
      <c r="I25" s="29">
        <f>IF(F25=0,0,H25+Inputs!C55*D25)</f>
        <v>16.562000000000005</v>
      </c>
      <c r="J25" s="29">
        <f>IF(F25=0,0,IF(AND(ISNUMBER(E25),E25&gt;=1,E25&lt;=10),Inputs!C56*E25,NA()))</f>
        <v>11.4370055625</v>
      </c>
      <c r="K25" s="29">
        <f t="shared" si="1"/>
        <v>20.127218889768557</v>
      </c>
      <c r="L25" s="29">
        <f t="shared" si="2"/>
        <v>55.372708522691767</v>
      </c>
      <c r="M25" s="29">
        <f t="shared" si="3"/>
        <v>53.486276762620292</v>
      </c>
      <c r="N25" s="29">
        <f t="shared" si="4"/>
        <v>36.935324529133112</v>
      </c>
      <c r="O25" s="29">
        <f>IF(F25=0,0,IF(Inputs!E27="OK",SQRT(K25/(2*Inputs!C27*Inputs!C57)),NA()))</f>
        <v>12.7329837659296</v>
      </c>
      <c r="P25" s="29">
        <f t="shared" si="5"/>
        <v>2.4196478755459223</v>
      </c>
      <c r="Q25" s="29">
        <f t="shared" si="6"/>
        <v>48.700782427276245</v>
      </c>
      <c r="R25" s="29">
        <f t="shared" si="7"/>
        <v>1076.5300000000002</v>
      </c>
      <c r="S25" s="29">
        <f>IF(F25=0,0,IF(Inputs!E30="OK",SUM(Q25:R25)/Inputs!C30,NA()))</f>
        <v>1731.1242806573482</v>
      </c>
      <c r="T25" s="29">
        <f>IF(AND(Inputs!E31="OK",Inputs!E32="OK"),S25/Inputs!C31+Inputs!C32,NA())</f>
        <v>1941.4714229526091</v>
      </c>
      <c r="U25" s="29">
        <f>T25/Inputs!C62</f>
        <v>92.451020140600434</v>
      </c>
      <c r="V25" s="29">
        <f>IF(Inputs!E25="OK",(T25-Inputs!C32)/Inputs!C25,NA())</f>
        <v>480.86785573815229</v>
      </c>
      <c r="W25" s="30">
        <f t="shared" si="8"/>
        <v>1.2046419545774258E-8</v>
      </c>
      <c r="X25" s="31">
        <f t="shared" si="9"/>
        <v>6.3664918829647998</v>
      </c>
      <c r="Y25" s="31">
        <f t="shared" si="10"/>
        <v>3.1832459414823999</v>
      </c>
      <c r="Z25" s="31">
        <f t="shared" si="11"/>
        <v>1.5916229707412</v>
      </c>
      <c r="AA25" s="31">
        <f t="shared" si="12"/>
        <v>2.3874344561117997</v>
      </c>
      <c r="AB25" s="31">
        <f t="shared" si="13"/>
        <v>2.7853401987970998</v>
      </c>
      <c r="AC25" s="31">
        <f t="shared" si="14"/>
        <v>2.58638732745445</v>
      </c>
      <c r="AD25" s="31">
        <f t="shared" si="15"/>
        <v>2.4869108917831251</v>
      </c>
      <c r="AE25" s="31">
        <f t="shared" si="16"/>
        <v>2.4371726739474626</v>
      </c>
      <c r="AF25" s="31">
        <f t="shared" si="17"/>
        <v>2.4123035650296312</v>
      </c>
      <c r="AG25" s="31">
        <f t="shared" si="18"/>
        <v>2.4247381194885467</v>
      </c>
      <c r="AH25" s="31">
        <f t="shared" si="19"/>
        <v>2.4185208422590887</v>
      </c>
      <c r="AI25" s="31">
        <f t="shared" si="20"/>
        <v>2.4216294808738175</v>
      </c>
      <c r="AJ25" s="31">
        <f t="shared" si="21"/>
        <v>2.4200751615664529</v>
      </c>
      <c r="AK25" s="31">
        <f t="shared" si="22"/>
        <v>2.4192980019127708</v>
      </c>
      <c r="AL25" s="31">
        <f t="shared" si="23"/>
        <v>2.419686581739612</v>
      </c>
      <c r="AM25" s="31">
        <f t="shared" si="24"/>
        <v>2.4194922918261916</v>
      </c>
      <c r="AN25" s="31">
        <f t="shared" si="25"/>
        <v>2.4195894367829021</v>
      </c>
      <c r="AO25" s="31">
        <f t="shared" si="26"/>
        <v>2.4196380092612571</v>
      </c>
      <c r="AP25" s="31">
        <f t="shared" si="27"/>
        <v>2.4196622955004345</v>
      </c>
      <c r="AQ25" s="31">
        <f t="shared" si="28"/>
        <v>2.4196501523808456</v>
      </c>
      <c r="AR25" s="31">
        <f t="shared" si="29"/>
        <v>2.4196440808210511</v>
      </c>
      <c r="AS25" s="31">
        <f t="shared" si="30"/>
        <v>2.4196471166009483</v>
      </c>
      <c r="AT25" s="31">
        <f t="shared" si="31"/>
        <v>2.4196486344908967</v>
      </c>
      <c r="AU25" s="31">
        <f t="shared" si="32"/>
        <v>2.4196478755459223</v>
      </c>
    </row>
    <row r="26" spans="2:47" ht="22.95" customHeight="1" x14ac:dyDescent="0.3">
      <c r="B26" s="21" t="s">
        <v>280</v>
      </c>
      <c r="C26" s="29">
        <f>IF(AND(Inputs!E33="OK",Inputs!E34="OK"),Inputs!C33*Inputs!C34*14/20,NA())</f>
        <v>252</v>
      </c>
      <c r="D26" s="29">
        <f>0</f>
        <v>0</v>
      </c>
      <c r="E26" s="29">
        <f>1</f>
        <v>1</v>
      </c>
      <c r="F26" s="29">
        <v>1</v>
      </c>
      <c r="G26" s="29">
        <f t="shared" si="0"/>
        <v>70</v>
      </c>
      <c r="H26" s="29">
        <f>IF(Inputs!E27="OK",0.5*Inputs!C27*Inputs!C58*G26^2,NA())</f>
        <v>19.208000000000002</v>
      </c>
      <c r="I26" s="29">
        <f>IF(F26=0,0,H26+Inputs!C55*D26)</f>
        <v>19.208000000000002</v>
      </c>
      <c r="J26" s="29">
        <f>IF(F26=0,0,IF(AND(ISNUMBER(E26),E26&gt;=1,E26&lt;=10),Inputs!C56*E26,NA()))</f>
        <v>11.4370055625</v>
      </c>
      <c r="K26" s="29">
        <f t="shared" si="1"/>
        <v>22.355141695740961</v>
      </c>
      <c r="L26" s="29">
        <f t="shared" si="2"/>
        <v>59.229192930296627</v>
      </c>
      <c r="M26" s="29">
        <f t="shared" si="3"/>
        <v>60.145447445594229</v>
      </c>
      <c r="N26" s="29">
        <f t="shared" si="4"/>
        <v>35.81236031832114</v>
      </c>
      <c r="O26" s="29">
        <f>IF(F26=0,0,IF(Inputs!E27="OK",SQRT(K26/(2*Inputs!C27*Inputs!C57)),NA()))</f>
        <v>13.419211998427965</v>
      </c>
      <c r="P26" s="29">
        <f t="shared" si="5"/>
        <v>2.4956509524466393</v>
      </c>
      <c r="Q26" s="29">
        <f t="shared" si="6"/>
        <v>55.790630665055509</v>
      </c>
      <c r="R26" s="29">
        <f t="shared" si="7"/>
        <v>1344.5600000000002</v>
      </c>
      <c r="S26" s="29">
        <f>IF(F26=0,0,IF(Inputs!E30="OK",SUM(Q26:R26)/Inputs!C30,NA()))</f>
        <v>2154.3855856385471</v>
      </c>
      <c r="T26" s="29">
        <f>IF(AND(Inputs!E31="OK",Inputs!E32="OK"),S26/Inputs!C31+Inputs!C32,NA())</f>
        <v>2411.7617618206077</v>
      </c>
      <c r="U26" s="29">
        <f>T26/Inputs!C62</f>
        <v>114.8457981819337</v>
      </c>
      <c r="V26" s="29">
        <f>IF(Inputs!E25="OK",(T26-Inputs!C32)/Inputs!C25,NA())</f>
        <v>598.44044045515193</v>
      </c>
      <c r="W26" s="30">
        <f t="shared" si="8"/>
        <v>-1.5856040439038456E-7</v>
      </c>
      <c r="X26" s="31">
        <f t="shared" si="9"/>
        <v>6.7096059992139825</v>
      </c>
      <c r="Y26" s="31">
        <f t="shared" si="10"/>
        <v>3.3548029996069912</v>
      </c>
      <c r="Z26" s="31">
        <f t="shared" si="11"/>
        <v>1.6774014998034956</v>
      </c>
      <c r="AA26" s="31">
        <f t="shared" si="12"/>
        <v>2.5161022497052432</v>
      </c>
      <c r="AB26" s="31">
        <f t="shared" si="13"/>
        <v>2.0967518747543692</v>
      </c>
      <c r="AC26" s="31">
        <f t="shared" si="14"/>
        <v>2.306427062229806</v>
      </c>
      <c r="AD26" s="31">
        <f t="shared" si="15"/>
        <v>2.4112646559675244</v>
      </c>
      <c r="AE26" s="31">
        <f t="shared" si="16"/>
        <v>2.4636834528363836</v>
      </c>
      <c r="AF26" s="31">
        <f t="shared" si="17"/>
        <v>2.4898928512708132</v>
      </c>
      <c r="AG26" s="31">
        <f t="shared" si="18"/>
        <v>2.5029975504880282</v>
      </c>
      <c r="AH26" s="31">
        <f t="shared" si="19"/>
        <v>2.4964452008794207</v>
      </c>
      <c r="AI26" s="31">
        <f t="shared" si="20"/>
        <v>2.4931690260751171</v>
      </c>
      <c r="AJ26" s="31">
        <f t="shared" si="21"/>
        <v>2.4948071134772691</v>
      </c>
      <c r="AK26" s="31">
        <f t="shared" si="22"/>
        <v>2.4956261571783451</v>
      </c>
      <c r="AL26" s="31">
        <f t="shared" si="23"/>
        <v>2.4960356790288829</v>
      </c>
      <c r="AM26" s="31">
        <f t="shared" si="24"/>
        <v>2.4958309181036138</v>
      </c>
      <c r="AN26" s="31">
        <f t="shared" si="25"/>
        <v>2.4957285376409795</v>
      </c>
      <c r="AO26" s="31">
        <f t="shared" si="26"/>
        <v>2.4956773474096621</v>
      </c>
      <c r="AP26" s="31">
        <f t="shared" si="27"/>
        <v>2.4956517522940036</v>
      </c>
      <c r="AQ26" s="31">
        <f t="shared" si="28"/>
        <v>2.4956389547361741</v>
      </c>
      <c r="AR26" s="31">
        <f t="shared" si="29"/>
        <v>2.4956453535150889</v>
      </c>
      <c r="AS26" s="31">
        <f t="shared" si="30"/>
        <v>2.4956485529045462</v>
      </c>
      <c r="AT26" s="31">
        <f t="shared" si="31"/>
        <v>2.4956501525992749</v>
      </c>
      <c r="AU26" s="31">
        <f t="shared" si="32"/>
        <v>2.4956509524466393</v>
      </c>
    </row>
    <row r="27" spans="2:47" ht="22.95" customHeight="1" x14ac:dyDescent="0.3">
      <c r="B27" s="21" t="s">
        <v>281</v>
      </c>
      <c r="C27" s="29">
        <f>IF(AND(Inputs!E33="OK",Inputs!E34="OK"),Inputs!C33*Inputs!C34*15/20,NA())</f>
        <v>270</v>
      </c>
      <c r="D27" s="29">
        <f>0</f>
        <v>0</v>
      </c>
      <c r="E27" s="29">
        <f>1</f>
        <v>1</v>
      </c>
      <c r="F27" s="29">
        <v>1</v>
      </c>
      <c r="G27" s="29">
        <f t="shared" si="0"/>
        <v>75</v>
      </c>
      <c r="H27" s="29">
        <f>IF(Inputs!E27="OK",0.5*Inputs!C27*Inputs!C58*G27^2,NA())</f>
        <v>22.050000000000004</v>
      </c>
      <c r="I27" s="29">
        <f>IF(F27=0,0,H27+Inputs!C55*D27)</f>
        <v>22.050000000000004</v>
      </c>
      <c r="J27" s="29">
        <f>IF(F27=0,0,IF(AND(ISNUMBER(E27),E27&gt;=1,E27&lt;=10),Inputs!C56*E27,NA()))</f>
        <v>11.4370055625</v>
      </c>
      <c r="K27" s="29">
        <f t="shared" si="1"/>
        <v>24.839637602764178</v>
      </c>
      <c r="L27" s="29">
        <f t="shared" si="2"/>
        <v>62.58490487019801</v>
      </c>
      <c r="M27" s="29">
        <f t="shared" si="3"/>
        <v>66.577058266581531</v>
      </c>
      <c r="N27" s="29">
        <f t="shared" si="4"/>
        <v>34.532525429921975</v>
      </c>
      <c r="O27" s="29">
        <f>IF(F27=0,0,IF(Inputs!E27="OK",SQRT(K27/(2*Inputs!C27*Inputs!C57)),NA()))</f>
        <v>14.145259795341108</v>
      </c>
      <c r="P27" s="29">
        <f t="shared" si="5"/>
        <v>2.5882389462419408</v>
      </c>
      <c r="Q27" s="29">
        <f t="shared" si="6"/>
        <v>64.290917454010042</v>
      </c>
      <c r="R27" s="29">
        <f t="shared" si="7"/>
        <v>1653.7500000000002</v>
      </c>
      <c r="S27" s="29">
        <f>IF(F27=0,0,IF(Inputs!E30="OK",SUM(Q27:R27)/Inputs!C30,NA()))</f>
        <v>2643.1398730061696</v>
      </c>
      <c r="T27" s="29">
        <f>IF(AND(Inputs!E31="OK",Inputs!E32="OK"),S27/Inputs!C31+Inputs!C32,NA())</f>
        <v>2954.8220811179663</v>
      </c>
      <c r="U27" s="29">
        <f>T27/Inputs!C62</f>
        <v>140.70581338656982</v>
      </c>
      <c r="V27" s="29">
        <f>IF(Inputs!E25="OK",(T27-Inputs!C32)/Inputs!C25,NA())</f>
        <v>734.20552027949157</v>
      </c>
      <c r="W27" s="30">
        <f t="shared" si="8"/>
        <v>-1.6288050774741261E-7</v>
      </c>
      <c r="X27" s="31">
        <f t="shared" si="9"/>
        <v>7.0726298976705539</v>
      </c>
      <c r="Y27" s="31">
        <f t="shared" si="10"/>
        <v>3.536314948835277</v>
      </c>
      <c r="Z27" s="31">
        <f t="shared" si="11"/>
        <v>1.7681574744176385</v>
      </c>
      <c r="AA27" s="31">
        <f t="shared" si="12"/>
        <v>2.652236211626458</v>
      </c>
      <c r="AB27" s="31">
        <f t="shared" si="13"/>
        <v>2.2101968430220484</v>
      </c>
      <c r="AC27" s="31">
        <f t="shared" si="14"/>
        <v>2.4312165273242532</v>
      </c>
      <c r="AD27" s="31">
        <f t="shared" si="15"/>
        <v>2.5417263694753558</v>
      </c>
      <c r="AE27" s="31">
        <f t="shared" si="16"/>
        <v>2.5969812905509069</v>
      </c>
      <c r="AF27" s="31">
        <f t="shared" si="17"/>
        <v>2.5693538300131311</v>
      </c>
      <c r="AG27" s="31">
        <f t="shared" si="18"/>
        <v>2.583167560282019</v>
      </c>
      <c r="AH27" s="31">
        <f t="shared" si="19"/>
        <v>2.5900744254164629</v>
      </c>
      <c r="AI27" s="31">
        <f t="shared" si="20"/>
        <v>2.586620992849241</v>
      </c>
      <c r="AJ27" s="31">
        <f t="shared" si="21"/>
        <v>2.5883477091328517</v>
      </c>
      <c r="AK27" s="31">
        <f t="shared" si="22"/>
        <v>2.5874843509910463</v>
      </c>
      <c r="AL27" s="31">
        <f t="shared" si="23"/>
        <v>2.5879160300619493</v>
      </c>
      <c r="AM27" s="31">
        <f t="shared" si="24"/>
        <v>2.5881318695974005</v>
      </c>
      <c r="AN27" s="31">
        <f t="shared" si="25"/>
        <v>2.5882397893651263</v>
      </c>
      <c r="AO27" s="31">
        <f t="shared" si="26"/>
        <v>2.5881858294812634</v>
      </c>
      <c r="AP27" s="31">
        <f t="shared" si="27"/>
        <v>2.5882128094231946</v>
      </c>
      <c r="AQ27" s="31">
        <f t="shared" si="28"/>
        <v>2.5882262993941603</v>
      </c>
      <c r="AR27" s="31">
        <f t="shared" si="29"/>
        <v>2.5882330443796433</v>
      </c>
      <c r="AS27" s="31">
        <f t="shared" si="30"/>
        <v>2.5882364168723848</v>
      </c>
      <c r="AT27" s="31">
        <f t="shared" si="31"/>
        <v>2.5882381031187554</v>
      </c>
      <c r="AU27" s="31">
        <f t="shared" si="32"/>
        <v>2.5882389462419408</v>
      </c>
    </row>
    <row r="28" spans="2:47" ht="22.95" customHeight="1" x14ac:dyDescent="0.3">
      <c r="B28" s="21" t="s">
        <v>282</v>
      </c>
      <c r="C28" s="29">
        <f>IF(AND(Inputs!E33="OK",Inputs!E34="OK"),Inputs!C33*Inputs!C34*16/20,NA())</f>
        <v>288</v>
      </c>
      <c r="D28" s="29">
        <f>0</f>
        <v>0</v>
      </c>
      <c r="E28" s="29">
        <f>1</f>
        <v>1</v>
      </c>
      <c r="F28" s="29">
        <v>1</v>
      </c>
      <c r="G28" s="29">
        <f t="shared" si="0"/>
        <v>80</v>
      </c>
      <c r="H28" s="29">
        <f>IF(Inputs!E27="OK",0.5*Inputs!C27*Inputs!C58*G28^2,NA())</f>
        <v>25.088000000000005</v>
      </c>
      <c r="I28" s="29">
        <f>IF(F28=0,0,H28+Inputs!C55*D28)</f>
        <v>25.088000000000005</v>
      </c>
      <c r="J28" s="29">
        <f>IF(F28=0,0,IF(AND(ISNUMBER(E28),E28&gt;=1,E28&lt;=10),Inputs!C56*E28,NA()))</f>
        <v>11.4370055625</v>
      </c>
      <c r="K28" s="29">
        <f t="shared" si="1"/>
        <v>27.571957497367794</v>
      </c>
      <c r="L28" s="29">
        <f t="shared" si="2"/>
        <v>65.4929179279154</v>
      </c>
      <c r="M28" s="29">
        <f t="shared" si="3"/>
        <v>72.792800445583381</v>
      </c>
      <c r="N28" s="29">
        <f t="shared" si="4"/>
        <v>33.184457254707006</v>
      </c>
      <c r="O28" s="29">
        <f>IF(F28=0,0,IF(Inputs!E27="OK",SQRT(K28/(2*Inputs!C27*Inputs!C57)),NA()))</f>
        <v>14.902945069250256</v>
      </c>
      <c r="P28" s="29">
        <f t="shared" si="5"/>
        <v>2.6934525683078339</v>
      </c>
      <c r="Q28" s="29">
        <f t="shared" si="6"/>
        <v>74.263759734559727</v>
      </c>
      <c r="R28" s="29">
        <f t="shared" si="7"/>
        <v>2007.0400000000004</v>
      </c>
      <c r="S28" s="29">
        <f>IF(F28=0,0,IF(Inputs!E30="OK",SUM(Q28:R28)/Inputs!C30,NA()))</f>
        <v>3202.0057842070155</v>
      </c>
      <c r="T28" s="29">
        <f>IF(AND(Inputs!E31="OK",Inputs!E32="OK"),S28/Inputs!C31+Inputs!C32,NA())</f>
        <v>3575.7842046744618</v>
      </c>
      <c r="U28" s="29">
        <f>T28/Inputs!C62</f>
        <v>170.27543831783152</v>
      </c>
      <c r="V28" s="29">
        <f>IF(Inputs!E25="OK",(T28-Inputs!C32)/Inputs!C25,NA())</f>
        <v>889.44605116861544</v>
      </c>
      <c r="W28" s="30">
        <f t="shared" si="8"/>
        <v>-2.9858400442236915E-7</v>
      </c>
      <c r="X28" s="31">
        <f t="shared" si="9"/>
        <v>7.451472534625128</v>
      </c>
      <c r="Y28" s="31">
        <f t="shared" si="10"/>
        <v>3.725736267312564</v>
      </c>
      <c r="Z28" s="31">
        <f t="shared" si="11"/>
        <v>1.862868133656282</v>
      </c>
      <c r="AA28" s="31">
        <f t="shared" si="12"/>
        <v>2.7943022004844229</v>
      </c>
      <c r="AB28" s="31">
        <f t="shared" si="13"/>
        <v>2.3285851670703526</v>
      </c>
      <c r="AC28" s="31">
        <f t="shared" si="14"/>
        <v>2.5614436837773877</v>
      </c>
      <c r="AD28" s="31">
        <f t="shared" si="15"/>
        <v>2.6778729421309055</v>
      </c>
      <c r="AE28" s="31">
        <f t="shared" si="16"/>
        <v>2.7360875713076642</v>
      </c>
      <c r="AF28" s="31">
        <f t="shared" si="17"/>
        <v>2.7069802567192847</v>
      </c>
      <c r="AG28" s="31">
        <f t="shared" si="18"/>
        <v>2.6924265994250951</v>
      </c>
      <c r="AH28" s="31">
        <f t="shared" si="19"/>
        <v>2.6997034280721901</v>
      </c>
      <c r="AI28" s="31">
        <f t="shared" si="20"/>
        <v>2.6960650137486426</v>
      </c>
      <c r="AJ28" s="31">
        <f t="shared" si="21"/>
        <v>2.6942458065868689</v>
      </c>
      <c r="AK28" s="31">
        <f t="shared" si="22"/>
        <v>2.6933362030059822</v>
      </c>
      <c r="AL28" s="31">
        <f t="shared" si="23"/>
        <v>2.6937910047964255</v>
      </c>
      <c r="AM28" s="31">
        <f t="shared" si="24"/>
        <v>2.6935636039012039</v>
      </c>
      <c r="AN28" s="31">
        <f t="shared" si="25"/>
        <v>2.693449903453593</v>
      </c>
      <c r="AO28" s="31">
        <f t="shared" si="26"/>
        <v>2.6935067536773984</v>
      </c>
      <c r="AP28" s="31">
        <f t="shared" si="27"/>
        <v>2.6934783285654955</v>
      </c>
      <c r="AQ28" s="31">
        <f t="shared" si="28"/>
        <v>2.6934641160095443</v>
      </c>
      <c r="AR28" s="31">
        <f t="shared" si="29"/>
        <v>2.6934570097315684</v>
      </c>
      <c r="AS28" s="31">
        <f t="shared" si="30"/>
        <v>2.6934534565925805</v>
      </c>
      <c r="AT28" s="31">
        <f t="shared" si="31"/>
        <v>2.6934516800230868</v>
      </c>
      <c r="AU28" s="31">
        <f t="shared" si="32"/>
        <v>2.6934525683078339</v>
      </c>
    </row>
    <row r="29" spans="2:47" ht="22.95" customHeight="1" x14ac:dyDescent="0.3">
      <c r="B29" s="21" t="s">
        <v>283</v>
      </c>
      <c r="C29" s="29">
        <f>IF(AND(Inputs!E33="OK",Inputs!E34="OK"),Inputs!C33*Inputs!C34*17/20,NA())</f>
        <v>306</v>
      </c>
      <c r="D29" s="29">
        <f>0</f>
        <v>0</v>
      </c>
      <c r="E29" s="29">
        <f>1</f>
        <v>1</v>
      </c>
      <c r="F29" s="29">
        <v>1</v>
      </c>
      <c r="G29" s="29">
        <f t="shared" si="0"/>
        <v>85</v>
      </c>
      <c r="H29" s="29">
        <f>IF(Inputs!E27="OK",0.5*Inputs!C27*Inputs!C58*G29^2,NA())</f>
        <v>28.322000000000006</v>
      </c>
      <c r="I29" s="29">
        <f>IF(F29=0,0,H29+Inputs!C55*D29)</f>
        <v>28.322000000000006</v>
      </c>
      <c r="J29" s="29">
        <f>IF(F29=0,0,IF(AND(ISNUMBER(E29),E29&gt;=1,E29&lt;=10),Inputs!C56*E29,NA()))</f>
        <v>11.4370055625</v>
      </c>
      <c r="K29" s="29">
        <f t="shared" si="1"/>
        <v>30.54407929921372</v>
      </c>
      <c r="L29" s="29">
        <f t="shared" si="2"/>
        <v>68.010131475887462</v>
      </c>
      <c r="M29" s="29">
        <f t="shared" si="3"/>
        <v>78.816256873127358</v>
      </c>
      <c r="N29" s="29">
        <f t="shared" si="4"/>
        <v>31.827624047503221</v>
      </c>
      <c r="O29" s="29">
        <f>IF(F29=0,0,IF(Inputs!E27="OK",SQRT(K29/(2*Inputs!C27*Inputs!C57)),NA()))</f>
        <v>15.685624703363189</v>
      </c>
      <c r="P29" s="29">
        <f t="shared" si="5"/>
        <v>2.8083301698176344</v>
      </c>
      <c r="Q29" s="29">
        <f t="shared" si="6"/>
        <v>85.777859405284161</v>
      </c>
      <c r="R29" s="29">
        <f t="shared" si="7"/>
        <v>2407.3700000000003</v>
      </c>
      <c r="S29" s="29">
        <f>IF(F29=0,0,IF(Inputs!E30="OK",SUM(Q29:R29)/Inputs!C30,NA()))</f>
        <v>3835.6120913927452</v>
      </c>
      <c r="T29" s="29">
        <f>IF(AND(Inputs!E31="OK",Inputs!E32="OK"),S29/Inputs!C31+Inputs!C32,NA())</f>
        <v>4279.7912126586061</v>
      </c>
      <c r="U29" s="29">
        <f>T29/Inputs!C62</f>
        <v>203.79958155517173</v>
      </c>
      <c r="V29" s="29">
        <f>IF(Inputs!E25="OK",(T29-Inputs!C32)/Inputs!C25,NA())</f>
        <v>1065.4478031646515</v>
      </c>
      <c r="W29" s="30">
        <f t="shared" si="8"/>
        <v>-3.0217439512877507E-7</v>
      </c>
      <c r="X29" s="31">
        <f t="shared" si="9"/>
        <v>7.8428123516815944</v>
      </c>
      <c r="Y29" s="31">
        <f t="shared" si="10"/>
        <v>3.9214061758407972</v>
      </c>
      <c r="Z29" s="31">
        <f t="shared" si="11"/>
        <v>1.9607030879203986</v>
      </c>
      <c r="AA29" s="31">
        <f t="shared" si="12"/>
        <v>2.9410546318805979</v>
      </c>
      <c r="AB29" s="31">
        <f t="shared" si="13"/>
        <v>2.4508788599004983</v>
      </c>
      <c r="AC29" s="31">
        <f t="shared" si="14"/>
        <v>2.6959667458905479</v>
      </c>
      <c r="AD29" s="31">
        <f t="shared" si="15"/>
        <v>2.8185106888855729</v>
      </c>
      <c r="AE29" s="31">
        <f t="shared" si="16"/>
        <v>2.7572387173880606</v>
      </c>
      <c r="AF29" s="31">
        <f t="shared" si="17"/>
        <v>2.7878747031368167</v>
      </c>
      <c r="AG29" s="31">
        <f t="shared" si="18"/>
        <v>2.803192696011195</v>
      </c>
      <c r="AH29" s="31">
        <f t="shared" si="19"/>
        <v>2.810851692448384</v>
      </c>
      <c r="AI29" s="31">
        <f t="shared" si="20"/>
        <v>2.8070221942297895</v>
      </c>
      <c r="AJ29" s="31">
        <f t="shared" si="21"/>
        <v>2.8089369433390869</v>
      </c>
      <c r="AK29" s="31">
        <f t="shared" si="22"/>
        <v>2.8079795687844382</v>
      </c>
      <c r="AL29" s="31">
        <f t="shared" si="23"/>
        <v>2.8084582560617624</v>
      </c>
      <c r="AM29" s="31">
        <f t="shared" si="24"/>
        <v>2.8082189124231003</v>
      </c>
      <c r="AN29" s="31">
        <f t="shared" si="25"/>
        <v>2.8083385842424313</v>
      </c>
      <c r="AO29" s="31">
        <f t="shared" si="26"/>
        <v>2.8082787483327656</v>
      </c>
      <c r="AP29" s="31">
        <f t="shared" si="27"/>
        <v>2.8083086662875982</v>
      </c>
      <c r="AQ29" s="31">
        <f t="shared" si="28"/>
        <v>2.8083236252650146</v>
      </c>
      <c r="AR29" s="31">
        <f t="shared" si="29"/>
        <v>2.8083311047537229</v>
      </c>
      <c r="AS29" s="31">
        <f t="shared" si="30"/>
        <v>2.8083273650093687</v>
      </c>
      <c r="AT29" s="31">
        <f t="shared" si="31"/>
        <v>2.8083292348815458</v>
      </c>
      <c r="AU29" s="31">
        <f t="shared" si="32"/>
        <v>2.8083301698176344</v>
      </c>
    </row>
    <row r="30" spans="2:47" ht="22.95" customHeight="1" x14ac:dyDescent="0.3">
      <c r="B30" s="21" t="s">
        <v>284</v>
      </c>
      <c r="C30" s="29">
        <f>IF(AND(Inputs!E33="OK",Inputs!E34="OK"),Inputs!C33*Inputs!C34*18/20,NA())</f>
        <v>324</v>
      </c>
      <c r="D30" s="29">
        <f>0</f>
        <v>0</v>
      </c>
      <c r="E30" s="29">
        <f>1</f>
        <v>1</v>
      </c>
      <c r="F30" s="29">
        <v>1</v>
      </c>
      <c r="G30" s="29">
        <f t="shared" si="0"/>
        <v>90</v>
      </c>
      <c r="H30" s="29">
        <f>IF(Inputs!E27="OK",0.5*Inputs!C27*Inputs!C58*G30^2,NA())</f>
        <v>31.752000000000006</v>
      </c>
      <c r="I30" s="29">
        <f>IF(F30=0,0,H30+Inputs!C55*D30)</f>
        <v>31.752000000000006</v>
      </c>
      <c r="J30" s="29">
        <f>IF(F30=0,0,IF(AND(ISNUMBER(E30),E30&gt;=1,E30&lt;=10),Inputs!C56*E30,NA()))</f>
        <v>11.4370055625</v>
      </c>
      <c r="K30" s="29">
        <f t="shared" si="1"/>
        <v>33.748994062588835</v>
      </c>
      <c r="L30" s="29">
        <f t="shared" si="2"/>
        <v>70.191083416685572</v>
      </c>
      <c r="M30" s="29">
        <f t="shared" si="3"/>
        <v>84.674523770999542</v>
      </c>
      <c r="N30" s="29">
        <f t="shared" si="4"/>
        <v>30.499590557160495</v>
      </c>
      <c r="O30" s="29">
        <f>IF(F30=0,0,IF(Inputs!E27="OK",SQRT(K30/(2*Inputs!C27*Inputs!C57)),NA()))</f>
        <v>16.48802801961692</v>
      </c>
      <c r="P30" s="29">
        <f t="shared" si="5"/>
        <v>2.9306554420050848</v>
      </c>
      <c r="Q30" s="29">
        <f t="shared" si="6"/>
        <v>98.906673111723265</v>
      </c>
      <c r="R30" s="29">
        <f t="shared" si="7"/>
        <v>2857.6800000000007</v>
      </c>
      <c r="S30" s="29">
        <f>IF(F30=0,0,IF(Inputs!E30="OK",SUM(Q30:R30)/Inputs!C30,NA()))</f>
        <v>4548.5948817103445</v>
      </c>
      <c r="T30" s="29">
        <f>IF(AND(Inputs!E31="OK",Inputs!E32="OK"),S30/Inputs!C31+Inputs!C32,NA())</f>
        <v>5071.9943130114934</v>
      </c>
      <c r="U30" s="29">
        <f>T30/Inputs!C62</f>
        <v>241.52353871483302</v>
      </c>
      <c r="V30" s="29">
        <f>IF(Inputs!E25="OK",(T30-Inputs!C32)/Inputs!C25,NA())</f>
        <v>1263.4985782528734</v>
      </c>
      <c r="W30" s="30">
        <f t="shared" si="8"/>
        <v>1.1734997096070724E-7</v>
      </c>
      <c r="X30" s="31">
        <f t="shared" si="9"/>
        <v>8.2440140098084598</v>
      </c>
      <c r="Y30" s="31">
        <f t="shared" si="10"/>
        <v>4.1220070049042299</v>
      </c>
      <c r="Z30" s="31">
        <f t="shared" si="11"/>
        <v>2.0610035024521149</v>
      </c>
      <c r="AA30" s="31">
        <f t="shared" si="12"/>
        <v>3.0915052536781724</v>
      </c>
      <c r="AB30" s="31">
        <f t="shared" si="13"/>
        <v>2.5762543780651437</v>
      </c>
      <c r="AC30" s="31">
        <f t="shared" si="14"/>
        <v>2.8338798158716578</v>
      </c>
      <c r="AD30" s="31">
        <f t="shared" si="15"/>
        <v>2.9626925347749151</v>
      </c>
      <c r="AE30" s="31">
        <f t="shared" si="16"/>
        <v>2.8982861753232867</v>
      </c>
      <c r="AF30" s="31">
        <f t="shared" si="17"/>
        <v>2.9304893550491009</v>
      </c>
      <c r="AG30" s="31">
        <f t="shared" si="18"/>
        <v>2.9465909449120082</v>
      </c>
      <c r="AH30" s="31">
        <f t="shared" si="19"/>
        <v>2.9385401499805548</v>
      </c>
      <c r="AI30" s="31">
        <f t="shared" si="20"/>
        <v>2.9345147525148279</v>
      </c>
      <c r="AJ30" s="31">
        <f t="shared" si="21"/>
        <v>2.9325020537819646</v>
      </c>
      <c r="AK30" s="31">
        <f t="shared" si="22"/>
        <v>2.931495704415533</v>
      </c>
      <c r="AL30" s="31">
        <f t="shared" si="23"/>
        <v>2.9309925297323169</v>
      </c>
      <c r="AM30" s="31">
        <f t="shared" si="24"/>
        <v>2.9307409423907091</v>
      </c>
      <c r="AN30" s="31">
        <f t="shared" si="25"/>
        <v>2.9306151487199052</v>
      </c>
      <c r="AO30" s="31">
        <f t="shared" si="26"/>
        <v>2.9306780455553074</v>
      </c>
      <c r="AP30" s="31">
        <f t="shared" si="27"/>
        <v>2.9306465971376063</v>
      </c>
      <c r="AQ30" s="31">
        <f t="shared" si="28"/>
        <v>2.9306623213464569</v>
      </c>
      <c r="AR30" s="31">
        <f t="shared" si="29"/>
        <v>2.9306544592420316</v>
      </c>
      <c r="AS30" s="31">
        <f t="shared" si="30"/>
        <v>2.9306583902942442</v>
      </c>
      <c r="AT30" s="31">
        <f t="shared" si="31"/>
        <v>2.9306564247681379</v>
      </c>
      <c r="AU30" s="31">
        <f t="shared" si="32"/>
        <v>2.9306554420050848</v>
      </c>
    </row>
    <row r="31" spans="2:47" ht="22.95" customHeight="1" x14ac:dyDescent="0.3">
      <c r="B31" s="21" t="s">
        <v>285</v>
      </c>
      <c r="C31" s="29">
        <f>IF(AND(Inputs!E33="OK",Inputs!E34="OK"),Inputs!C33*Inputs!C34*19/20,NA())</f>
        <v>342</v>
      </c>
      <c r="D31" s="29">
        <f>0</f>
        <v>0</v>
      </c>
      <c r="E31" s="29">
        <f>1</f>
        <v>1</v>
      </c>
      <c r="F31" s="29">
        <v>1</v>
      </c>
      <c r="G31" s="29">
        <f t="shared" si="0"/>
        <v>95</v>
      </c>
      <c r="H31" s="29">
        <f>IF(Inputs!E27="OK",0.5*Inputs!C27*Inputs!C58*G31^2,NA())</f>
        <v>35.378000000000007</v>
      </c>
      <c r="I31" s="29">
        <f>IF(F31=0,0,H31+Inputs!C55*D31)</f>
        <v>35.378000000000007</v>
      </c>
      <c r="J31" s="29">
        <f>IF(F31=0,0,IF(AND(ISNUMBER(E31),E31&gt;=1,E31&lt;=10),Inputs!C56*E31,NA()))</f>
        <v>11.4370055625</v>
      </c>
      <c r="K31" s="29">
        <f t="shared" si="1"/>
        <v>37.1807474405324</v>
      </c>
      <c r="L31" s="29">
        <f t="shared" si="2"/>
        <v>72.085008985479519</v>
      </c>
      <c r="M31" s="29">
        <f t="shared" si="3"/>
        <v>90.393825604918362</v>
      </c>
      <c r="N31" s="29">
        <f t="shared" si="4"/>
        <v>29.222530563036525</v>
      </c>
      <c r="O31" s="29">
        <f>IF(F31=0,0,IF(Inputs!E27="OK",SQRT(K31/(2*Inputs!C27*Inputs!C57)),NA()))</f>
        <v>17.306026267575916</v>
      </c>
      <c r="P31" s="29">
        <f t="shared" si="5"/>
        <v>3.0587618215777908</v>
      </c>
      <c r="Q31" s="29">
        <f t="shared" si="6"/>
        <v>113.72705076882667</v>
      </c>
      <c r="R31" s="29">
        <f t="shared" si="7"/>
        <v>3360.9100000000008</v>
      </c>
      <c r="S31" s="29">
        <f>IF(F31=0,0,IF(Inputs!E30="OK",SUM(Q31:R31)/Inputs!C30,NA()))</f>
        <v>5345.5954627212732</v>
      </c>
      <c r="T31" s="29">
        <f>IF(AND(Inputs!E31="OK",Inputs!E32="OK"),S31/Inputs!C31+Inputs!C32,NA())</f>
        <v>5957.5505141347476</v>
      </c>
      <c r="U31" s="29">
        <f>T31/Inputs!C62</f>
        <v>283.69288162546417</v>
      </c>
      <c r="V31" s="29">
        <f>IF(Inputs!E25="OK",(T31-Inputs!C32)/Inputs!C25,NA())</f>
        <v>1484.8876285336869</v>
      </c>
      <c r="W31" s="30">
        <f t="shared" si="8"/>
        <v>1.4375135253490603E-7</v>
      </c>
      <c r="X31" s="31">
        <f t="shared" si="9"/>
        <v>8.6530131337879581</v>
      </c>
      <c r="Y31" s="31">
        <f t="shared" si="10"/>
        <v>4.3265065668939791</v>
      </c>
      <c r="Z31" s="31">
        <f t="shared" si="11"/>
        <v>2.1632532834469895</v>
      </c>
      <c r="AA31" s="31">
        <f t="shared" si="12"/>
        <v>3.2448799251704843</v>
      </c>
      <c r="AB31" s="31">
        <f t="shared" si="13"/>
        <v>2.7040666043087369</v>
      </c>
      <c r="AC31" s="31">
        <f t="shared" si="14"/>
        <v>2.9744732647396104</v>
      </c>
      <c r="AD31" s="31">
        <f t="shared" si="15"/>
        <v>3.1096765949550473</v>
      </c>
      <c r="AE31" s="31">
        <f t="shared" si="16"/>
        <v>3.0420749298473289</v>
      </c>
      <c r="AF31" s="31">
        <f t="shared" si="17"/>
        <v>3.0758757624011879</v>
      </c>
      <c r="AG31" s="31">
        <f t="shared" si="18"/>
        <v>3.0589753461242584</v>
      </c>
      <c r="AH31" s="31">
        <f t="shared" si="19"/>
        <v>3.0505251379857934</v>
      </c>
      <c r="AI31" s="31">
        <f t="shared" si="20"/>
        <v>3.0547502420550257</v>
      </c>
      <c r="AJ31" s="31">
        <f t="shared" si="21"/>
        <v>3.0568627940896418</v>
      </c>
      <c r="AK31" s="31">
        <f t="shared" si="22"/>
        <v>3.0579190701069501</v>
      </c>
      <c r="AL31" s="31">
        <f t="shared" si="23"/>
        <v>3.058447208115604</v>
      </c>
      <c r="AM31" s="31">
        <f t="shared" si="24"/>
        <v>3.0587112771199312</v>
      </c>
      <c r="AN31" s="31">
        <f t="shared" si="25"/>
        <v>3.0588433116220948</v>
      </c>
      <c r="AO31" s="31">
        <f t="shared" si="26"/>
        <v>3.058777294371013</v>
      </c>
      <c r="AP31" s="31">
        <f t="shared" si="27"/>
        <v>3.0587442857454721</v>
      </c>
      <c r="AQ31" s="31">
        <f t="shared" si="28"/>
        <v>3.0587607900582423</v>
      </c>
      <c r="AR31" s="31">
        <f t="shared" si="29"/>
        <v>3.0587690422146276</v>
      </c>
      <c r="AS31" s="31">
        <f t="shared" si="30"/>
        <v>3.0587649161364352</v>
      </c>
      <c r="AT31" s="31">
        <f t="shared" si="31"/>
        <v>3.0587628530973388</v>
      </c>
      <c r="AU31" s="31">
        <f t="shared" si="32"/>
        <v>3.0587618215777908</v>
      </c>
    </row>
    <row r="32" spans="2:47" ht="22.95" customHeight="1" x14ac:dyDescent="0.3">
      <c r="B32" s="21" t="s">
        <v>286</v>
      </c>
      <c r="C32" s="29">
        <f>IF(AND(Inputs!E33="OK",Inputs!E34="OK"),Inputs!C33*Inputs!C34*20/20,NA())</f>
        <v>360</v>
      </c>
      <c r="D32" s="29">
        <f>0</f>
        <v>0</v>
      </c>
      <c r="E32" s="29">
        <f>1</f>
        <v>1</v>
      </c>
      <c r="F32" s="29">
        <v>1</v>
      </c>
      <c r="G32" s="29">
        <f t="shared" si="0"/>
        <v>100</v>
      </c>
      <c r="H32" s="29">
        <f>IF(Inputs!E27="OK",0.5*Inputs!C27*Inputs!C58*G32^2,NA())</f>
        <v>39.20000000000001</v>
      </c>
      <c r="I32" s="29">
        <f>IF(F32=0,0,H32+Inputs!C55*D32)</f>
        <v>39.20000000000001</v>
      </c>
      <c r="J32" s="29">
        <f>IF(F32=0,0,IF(AND(ISNUMBER(E32),E32&gt;=1,E32&lt;=10),Inputs!C56*E32,NA()))</f>
        <v>11.4370055625</v>
      </c>
      <c r="K32" s="29">
        <f t="shared" si="1"/>
        <v>40.834361709676038</v>
      </c>
      <c r="L32" s="29">
        <f t="shared" si="2"/>
        <v>73.73484879331896</v>
      </c>
      <c r="M32" s="29">
        <f t="shared" si="3"/>
        <v>95.997582327119488</v>
      </c>
      <c r="N32" s="29">
        <f t="shared" si="4"/>
        <v>28.008287833209614</v>
      </c>
      <c r="O32" s="29">
        <f>IF(F32=0,0,IF(Inputs!E27="OK",SQRT(K32/(2*Inputs!C27*Inputs!C57)),NA()))</f>
        <v>18.136404201145382</v>
      </c>
      <c r="P32" s="29">
        <f t="shared" si="5"/>
        <v>3.1913941872071039</v>
      </c>
      <c r="Q32" s="29">
        <f t="shared" si="6"/>
        <v>130.31854459857246</v>
      </c>
      <c r="R32" s="29">
        <f t="shared" si="7"/>
        <v>3920.0000000000009</v>
      </c>
      <c r="S32" s="29">
        <f>IF(F32=0,0,IF(Inputs!E30="OK",SUM(Q32:R32)/Inputs!C30,NA()))</f>
        <v>6231.2592993824201</v>
      </c>
      <c r="T32" s="29">
        <f>IF(AND(Inputs!E31="OK",Inputs!E32="OK"),S32/Inputs!C31+Inputs!C32,NA())</f>
        <v>6941.6214437582439</v>
      </c>
      <c r="U32" s="29">
        <f>T32/Inputs!C62</f>
        <v>330.55340208372593</v>
      </c>
      <c r="V32" s="29">
        <f>IF(Inputs!E25="OK",(T32-Inputs!C32)/Inputs!C25,NA())</f>
        <v>1730.905360939561</v>
      </c>
      <c r="W32" s="30">
        <f t="shared" si="8"/>
        <v>-5.4276149105372911E-8</v>
      </c>
      <c r="X32" s="31">
        <f t="shared" si="9"/>
        <v>9.0682021005726909</v>
      </c>
      <c r="Y32" s="31">
        <f t="shared" si="10"/>
        <v>4.5341010502863455</v>
      </c>
      <c r="Z32" s="31">
        <f t="shared" si="11"/>
        <v>2.2670505251431727</v>
      </c>
      <c r="AA32" s="31">
        <f t="shared" si="12"/>
        <v>3.4005757877147591</v>
      </c>
      <c r="AB32" s="31">
        <f t="shared" si="13"/>
        <v>2.8338131564289659</v>
      </c>
      <c r="AC32" s="31">
        <f t="shared" si="14"/>
        <v>3.1171944720718625</v>
      </c>
      <c r="AD32" s="31">
        <f t="shared" si="15"/>
        <v>3.2588851298933106</v>
      </c>
      <c r="AE32" s="31">
        <f t="shared" si="16"/>
        <v>3.1880398009825863</v>
      </c>
      <c r="AF32" s="31">
        <f t="shared" si="17"/>
        <v>3.2234624654379482</v>
      </c>
      <c r="AG32" s="31">
        <f t="shared" si="18"/>
        <v>3.2057511332102671</v>
      </c>
      <c r="AH32" s="31">
        <f t="shared" si="19"/>
        <v>3.1968954670964265</v>
      </c>
      <c r="AI32" s="31">
        <f t="shared" si="20"/>
        <v>3.1924676340395064</v>
      </c>
      <c r="AJ32" s="31">
        <f t="shared" si="21"/>
        <v>3.1902537175110464</v>
      </c>
      <c r="AK32" s="31">
        <f t="shared" si="22"/>
        <v>3.1913606757752766</v>
      </c>
      <c r="AL32" s="31">
        <f t="shared" si="23"/>
        <v>3.1919141549073915</v>
      </c>
      <c r="AM32" s="31">
        <f t="shared" si="24"/>
        <v>3.1916374153413338</v>
      </c>
      <c r="AN32" s="31">
        <f t="shared" si="25"/>
        <v>3.191499045558305</v>
      </c>
      <c r="AO32" s="31">
        <f t="shared" si="26"/>
        <v>3.1914298606667906</v>
      </c>
      <c r="AP32" s="31">
        <f t="shared" si="27"/>
        <v>3.1913952682210334</v>
      </c>
      <c r="AQ32" s="31">
        <f t="shared" si="28"/>
        <v>3.191377971998155</v>
      </c>
      <c r="AR32" s="31">
        <f t="shared" si="29"/>
        <v>3.1913866201095944</v>
      </c>
      <c r="AS32" s="31">
        <f t="shared" si="30"/>
        <v>3.1913909441653141</v>
      </c>
      <c r="AT32" s="31">
        <f t="shared" si="31"/>
        <v>3.191393106193174</v>
      </c>
      <c r="AU32" s="31">
        <f t="shared" si="32"/>
        <v>3.1913941872071039</v>
      </c>
    </row>
    <row r="33" spans="2:47" ht="22.95" customHeight="1" x14ac:dyDescent="0.3">
      <c r="B33" s="21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30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</row>
    <row r="34" spans="2:47" ht="22.95" customHeight="1" x14ac:dyDescent="0.3">
      <c r="B34" s="21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30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</row>
    <row r="35" spans="2:47" ht="22.95" customHeight="1" x14ac:dyDescent="0.3">
      <c r="B35" s="21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30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</row>
    <row r="36" spans="2:47" ht="37.950000000000003" customHeight="1" x14ac:dyDescent="0.3">
      <c r="B36" s="21" t="s">
        <v>287</v>
      </c>
      <c r="C36" s="29">
        <f>Mission!F8+(Mission!G8-Mission!F8)*0/2</f>
        <v>0</v>
      </c>
      <c r="D36" s="29">
        <f>Mission!H8</f>
        <v>0</v>
      </c>
      <c r="E36" s="29">
        <f>Mission!E8</f>
        <v>1</v>
      </c>
      <c r="F36" s="29">
        <v>0</v>
      </c>
      <c r="G36" s="29">
        <f t="shared" ref="G36:G56" si="33">C36/3.6</f>
        <v>0</v>
      </c>
      <c r="H36" s="29">
        <f>IF(Inputs!E27="OK",0.5*Inputs!C27*Inputs!C58*G36^2,NA())</f>
        <v>0</v>
      </c>
      <c r="I36" s="29">
        <f>IF(F36=0,0,H36+Inputs!C55*D36)</f>
        <v>0</v>
      </c>
      <c r="J36" s="29">
        <f>IF(F36=0,0,IF(AND(ISNUMBER(E36),E36&gt;=1,E36&lt;=10),Inputs!C56*E36,NA()))</f>
        <v>0</v>
      </c>
      <c r="K36" s="29">
        <f t="shared" ref="K36:K56" si="34">SQRT(I36^2+J36^2)</f>
        <v>0</v>
      </c>
      <c r="L36" s="29">
        <f t="shared" ref="L36:L56" si="35">IF(F36=0,0,DEGREES(ATAN(I36/J36)))</f>
        <v>0</v>
      </c>
      <c r="M36" s="29">
        <f t="shared" ref="M36:M56" si="36">IF(F36=0,0,G36*I36/K36)</f>
        <v>0</v>
      </c>
      <c r="N36" s="29">
        <f t="shared" ref="N36:N56" si="37">IF(F36=0,0,G36*J36/K36)</f>
        <v>0</v>
      </c>
      <c r="O36" s="29">
        <f>IF(F36=0,0,IF(Inputs!E27="OK",SQRT(K36/(2*Inputs!C27*Inputs!C57)),NA()))</f>
        <v>0</v>
      </c>
      <c r="P36" s="29">
        <f t="shared" ref="P36:P56" si="38">AU36</f>
        <v>0</v>
      </c>
      <c r="Q36" s="29">
        <f t="shared" ref="Q36:Q56" si="39">K36*P36</f>
        <v>0</v>
      </c>
      <c r="R36" s="29">
        <f t="shared" ref="R36:R56" si="40">I36*G36</f>
        <v>0</v>
      </c>
      <c r="S36" s="29">
        <f>IF(F36=0,0,IF(Inputs!E30="OK",SUM(Q36:R36)/Inputs!C30,NA()))</f>
        <v>0</v>
      </c>
      <c r="T36" s="29">
        <f>IF(AND(Inputs!E31="OK",Inputs!E32="OK"),S36/Inputs!C31+Inputs!C32,NA())</f>
        <v>18</v>
      </c>
      <c r="U36" s="29">
        <f>T36/Inputs!C62</f>
        <v>0.8571428571428571</v>
      </c>
      <c r="V36" s="29">
        <f>IF(Inputs!E25="OK",(T36-Inputs!C32)/Inputs!C25,NA())</f>
        <v>0</v>
      </c>
      <c r="W36" s="30">
        <f t="shared" ref="W36:W56" si="41">IF(F36=0,0,(P36*SQRT(N36^2+(M36+P36)^2)-O36^2)/O36^2)</f>
        <v>0</v>
      </c>
      <c r="X36" s="31">
        <f t="shared" ref="X36:X56" si="42">$O36/2</f>
        <v>0</v>
      </c>
      <c r="Y36" s="31">
        <f t="shared" ref="Y36:Y56" si="43">X36+IF(X36*SQRT($N36^2+($M36+X36)^2)&lt;$O36^2,1,-1)*$O36/2^2</f>
        <v>0</v>
      </c>
      <c r="Z36" s="31">
        <f t="shared" ref="Z36:Z56" si="44">Y36+IF(Y36*SQRT($N36^2+($M36+Y36)^2)&lt;$O36^2,1,-1)*$O36/2^3</f>
        <v>0</v>
      </c>
      <c r="AA36" s="31">
        <f t="shared" ref="AA36:AA56" si="45">Z36+IF(Z36*SQRT($N36^2+($M36+Z36)^2)&lt;$O36^2,1,-1)*$O36/2^4</f>
        <v>0</v>
      </c>
      <c r="AB36" s="31">
        <f t="shared" ref="AB36:AB56" si="46">AA36+IF(AA36*SQRT($N36^2+($M36+AA36)^2)&lt;$O36^2,1,-1)*$O36/2^5</f>
        <v>0</v>
      </c>
      <c r="AC36" s="31">
        <f t="shared" ref="AC36:AC56" si="47">AB36+IF(AB36*SQRT($N36^2+($M36+AB36)^2)&lt;$O36^2,1,-1)*$O36/2^6</f>
        <v>0</v>
      </c>
      <c r="AD36" s="31">
        <f t="shared" ref="AD36:AD56" si="48">AC36+IF(AC36*SQRT($N36^2+($M36+AC36)^2)&lt;$O36^2,1,-1)*$O36/2^7</f>
        <v>0</v>
      </c>
      <c r="AE36" s="31">
        <f t="shared" ref="AE36:AE56" si="49">AD36+IF(AD36*SQRT($N36^2+($M36+AD36)^2)&lt;$O36^2,1,-1)*$O36/2^8</f>
        <v>0</v>
      </c>
      <c r="AF36" s="31">
        <f t="shared" ref="AF36:AF56" si="50">AE36+IF(AE36*SQRT($N36^2+($M36+AE36)^2)&lt;$O36^2,1,-1)*$O36/2^9</f>
        <v>0</v>
      </c>
      <c r="AG36" s="31">
        <f t="shared" ref="AG36:AG56" si="51">AF36+IF(AF36*SQRT($N36^2+($M36+AF36)^2)&lt;$O36^2,1,-1)*$O36/2^10</f>
        <v>0</v>
      </c>
      <c r="AH36" s="31">
        <f t="shared" ref="AH36:AH56" si="52">AG36+IF(AG36*SQRT($N36^2+($M36+AG36)^2)&lt;$O36^2,1,-1)*$O36/2^11</f>
        <v>0</v>
      </c>
      <c r="AI36" s="31">
        <f t="shared" ref="AI36:AI56" si="53">AH36+IF(AH36*SQRT($N36^2+($M36+AH36)^2)&lt;$O36^2,1,-1)*$O36/2^12</f>
        <v>0</v>
      </c>
      <c r="AJ36" s="31">
        <f t="shared" ref="AJ36:AJ56" si="54">AI36+IF(AI36*SQRT($N36^2+($M36+AI36)^2)&lt;$O36^2,1,-1)*$O36/2^13</f>
        <v>0</v>
      </c>
      <c r="AK36" s="31">
        <f t="shared" ref="AK36:AK56" si="55">AJ36+IF(AJ36*SQRT($N36^2+($M36+AJ36)^2)&lt;$O36^2,1,-1)*$O36/2^14</f>
        <v>0</v>
      </c>
      <c r="AL36" s="31">
        <f t="shared" ref="AL36:AL56" si="56">AK36+IF(AK36*SQRT($N36^2+($M36+AK36)^2)&lt;$O36^2,1,-1)*$O36/2^15</f>
        <v>0</v>
      </c>
      <c r="AM36" s="31">
        <f t="shared" ref="AM36:AM56" si="57">AL36+IF(AL36*SQRT($N36^2+($M36+AL36)^2)&lt;$O36^2,1,-1)*$O36/2^16</f>
        <v>0</v>
      </c>
      <c r="AN36" s="31">
        <f t="shared" ref="AN36:AN56" si="58">AM36+IF(AM36*SQRT($N36^2+($M36+AM36)^2)&lt;$O36^2,1,-1)*$O36/2^17</f>
        <v>0</v>
      </c>
      <c r="AO36" s="31">
        <f t="shared" ref="AO36:AO56" si="59">AN36+IF(AN36*SQRT($N36^2+($M36+AN36)^2)&lt;$O36^2,1,-1)*$O36/2^18</f>
        <v>0</v>
      </c>
      <c r="AP36" s="31">
        <f t="shared" ref="AP36:AP56" si="60">AO36+IF(AO36*SQRT($N36^2+($M36+AO36)^2)&lt;$O36^2,1,-1)*$O36/2^19</f>
        <v>0</v>
      </c>
      <c r="AQ36" s="31">
        <f t="shared" ref="AQ36:AQ56" si="61">AP36+IF(AP36*SQRT($N36^2+($M36+AP36)^2)&lt;$O36^2,1,-1)*$O36/2^20</f>
        <v>0</v>
      </c>
      <c r="AR36" s="31">
        <f t="shared" ref="AR36:AR56" si="62">AQ36+IF(AQ36*SQRT($N36^2+($M36+AQ36)^2)&lt;$O36^2,1,-1)*$O36/2^21</f>
        <v>0</v>
      </c>
      <c r="AS36" s="31">
        <f t="shared" ref="AS36:AS56" si="63">AR36+IF(AR36*SQRT($N36^2+($M36+AR36)^2)&lt;$O36^2,1,-1)*$O36/2^22</f>
        <v>0</v>
      </c>
      <c r="AT36" s="31">
        <f t="shared" ref="AT36:AT56" si="64">AS36+IF(AS36*SQRT($N36^2+($M36+AS36)^2)&lt;$O36^2,1,-1)*$O36/2^23</f>
        <v>0</v>
      </c>
      <c r="AU36" s="31">
        <f t="shared" ref="AU36:AU56" si="65">AT36+IF(AT36*SQRT($N36^2+($M36+AT36)^2)&lt;$O36^2,1,-1)*$O36/2^24</f>
        <v>0</v>
      </c>
    </row>
    <row r="37" spans="2:47" ht="37.950000000000003" customHeight="1" x14ac:dyDescent="0.3">
      <c r="B37" s="21" t="s">
        <v>288</v>
      </c>
      <c r="C37" s="29">
        <f>Mission!F8+(Mission!G8-Mission!F8)*1/2</f>
        <v>0</v>
      </c>
      <c r="D37" s="29">
        <f>Mission!H8</f>
        <v>0</v>
      </c>
      <c r="E37" s="29">
        <f>Mission!E8</f>
        <v>1</v>
      </c>
      <c r="F37" s="29">
        <v>0</v>
      </c>
      <c r="G37" s="29">
        <f t="shared" si="33"/>
        <v>0</v>
      </c>
      <c r="H37" s="29">
        <f>IF(Inputs!E27="OK",0.5*Inputs!C27*Inputs!C58*G37^2,NA())</f>
        <v>0</v>
      </c>
      <c r="I37" s="29">
        <f>IF(F37=0,0,H37+Inputs!C55*D37)</f>
        <v>0</v>
      </c>
      <c r="J37" s="29">
        <f>IF(F37=0,0,IF(AND(ISNUMBER(E37),E37&gt;=1,E37&lt;=10),Inputs!C56*E37,NA()))</f>
        <v>0</v>
      </c>
      <c r="K37" s="29">
        <f t="shared" si="34"/>
        <v>0</v>
      </c>
      <c r="L37" s="29">
        <f t="shared" si="35"/>
        <v>0</v>
      </c>
      <c r="M37" s="29">
        <f t="shared" si="36"/>
        <v>0</v>
      </c>
      <c r="N37" s="29">
        <f t="shared" si="37"/>
        <v>0</v>
      </c>
      <c r="O37" s="29">
        <f>IF(F37=0,0,IF(Inputs!E27="OK",SQRT(K37/(2*Inputs!C27*Inputs!C57)),NA()))</f>
        <v>0</v>
      </c>
      <c r="P37" s="29">
        <f t="shared" si="38"/>
        <v>0</v>
      </c>
      <c r="Q37" s="29">
        <f t="shared" si="39"/>
        <v>0</v>
      </c>
      <c r="R37" s="29">
        <f t="shared" si="40"/>
        <v>0</v>
      </c>
      <c r="S37" s="29">
        <f>IF(F37=0,0,IF(Inputs!E30="OK",SUM(Q37:R37)/Inputs!C30,NA()))</f>
        <v>0</v>
      </c>
      <c r="T37" s="29">
        <f>IF(AND(Inputs!E31="OK",Inputs!E32="OK"),S37/Inputs!C31+Inputs!C32,NA())</f>
        <v>18</v>
      </c>
      <c r="U37" s="29">
        <f>T37/Inputs!C62</f>
        <v>0.8571428571428571</v>
      </c>
      <c r="V37" s="29">
        <f>IF(Inputs!E25="OK",(T37-Inputs!C32)/Inputs!C25,NA())</f>
        <v>0</v>
      </c>
      <c r="W37" s="30">
        <f t="shared" si="41"/>
        <v>0</v>
      </c>
      <c r="X37" s="31">
        <f t="shared" si="42"/>
        <v>0</v>
      </c>
      <c r="Y37" s="31">
        <f t="shared" si="43"/>
        <v>0</v>
      </c>
      <c r="Z37" s="31">
        <f t="shared" si="44"/>
        <v>0</v>
      </c>
      <c r="AA37" s="31">
        <f t="shared" si="45"/>
        <v>0</v>
      </c>
      <c r="AB37" s="31">
        <f t="shared" si="46"/>
        <v>0</v>
      </c>
      <c r="AC37" s="31">
        <f t="shared" si="47"/>
        <v>0</v>
      </c>
      <c r="AD37" s="31">
        <f t="shared" si="48"/>
        <v>0</v>
      </c>
      <c r="AE37" s="31">
        <f t="shared" si="49"/>
        <v>0</v>
      </c>
      <c r="AF37" s="31">
        <f t="shared" si="50"/>
        <v>0</v>
      </c>
      <c r="AG37" s="31">
        <f t="shared" si="51"/>
        <v>0</v>
      </c>
      <c r="AH37" s="31">
        <f t="shared" si="52"/>
        <v>0</v>
      </c>
      <c r="AI37" s="31">
        <f t="shared" si="53"/>
        <v>0</v>
      </c>
      <c r="AJ37" s="31">
        <f t="shared" si="54"/>
        <v>0</v>
      </c>
      <c r="AK37" s="31">
        <f t="shared" si="55"/>
        <v>0</v>
      </c>
      <c r="AL37" s="31">
        <f t="shared" si="56"/>
        <v>0</v>
      </c>
      <c r="AM37" s="31">
        <f t="shared" si="57"/>
        <v>0</v>
      </c>
      <c r="AN37" s="31">
        <f t="shared" si="58"/>
        <v>0</v>
      </c>
      <c r="AO37" s="31">
        <f t="shared" si="59"/>
        <v>0</v>
      </c>
      <c r="AP37" s="31">
        <f t="shared" si="60"/>
        <v>0</v>
      </c>
      <c r="AQ37" s="31">
        <f t="shared" si="61"/>
        <v>0</v>
      </c>
      <c r="AR37" s="31">
        <f t="shared" si="62"/>
        <v>0</v>
      </c>
      <c r="AS37" s="31">
        <f t="shared" si="63"/>
        <v>0</v>
      </c>
      <c r="AT37" s="31">
        <f t="shared" si="64"/>
        <v>0</v>
      </c>
      <c r="AU37" s="31">
        <f t="shared" si="65"/>
        <v>0</v>
      </c>
    </row>
    <row r="38" spans="2:47" ht="37.950000000000003" customHeight="1" x14ac:dyDescent="0.3">
      <c r="B38" s="21" t="s">
        <v>289</v>
      </c>
      <c r="C38" s="29">
        <f>Mission!F8+(Mission!G8-Mission!F8)*2/2</f>
        <v>0</v>
      </c>
      <c r="D38" s="29">
        <f>Mission!H8</f>
        <v>0</v>
      </c>
      <c r="E38" s="29">
        <f>Mission!E8</f>
        <v>1</v>
      </c>
      <c r="F38" s="29">
        <v>0</v>
      </c>
      <c r="G38" s="29">
        <f t="shared" si="33"/>
        <v>0</v>
      </c>
      <c r="H38" s="29">
        <f>IF(Inputs!E27="OK",0.5*Inputs!C27*Inputs!C58*G38^2,NA())</f>
        <v>0</v>
      </c>
      <c r="I38" s="29">
        <f>IF(F38=0,0,H38+Inputs!C55*D38)</f>
        <v>0</v>
      </c>
      <c r="J38" s="29">
        <f>IF(F38=0,0,IF(AND(ISNUMBER(E38),E38&gt;=1,E38&lt;=10),Inputs!C56*E38,NA()))</f>
        <v>0</v>
      </c>
      <c r="K38" s="29">
        <f t="shared" si="34"/>
        <v>0</v>
      </c>
      <c r="L38" s="29">
        <f t="shared" si="35"/>
        <v>0</v>
      </c>
      <c r="M38" s="29">
        <f t="shared" si="36"/>
        <v>0</v>
      </c>
      <c r="N38" s="29">
        <f t="shared" si="37"/>
        <v>0</v>
      </c>
      <c r="O38" s="29">
        <f>IF(F38=0,0,IF(Inputs!E27="OK",SQRT(K38/(2*Inputs!C27*Inputs!C57)),NA()))</f>
        <v>0</v>
      </c>
      <c r="P38" s="29">
        <f t="shared" si="38"/>
        <v>0</v>
      </c>
      <c r="Q38" s="29">
        <f t="shared" si="39"/>
        <v>0</v>
      </c>
      <c r="R38" s="29">
        <f t="shared" si="40"/>
        <v>0</v>
      </c>
      <c r="S38" s="29">
        <f>IF(F38=0,0,IF(Inputs!E30="OK",SUM(Q38:R38)/Inputs!C30,NA()))</f>
        <v>0</v>
      </c>
      <c r="T38" s="29">
        <f>IF(AND(Inputs!E31="OK",Inputs!E32="OK"),S38/Inputs!C31+Inputs!C32,NA())</f>
        <v>18</v>
      </c>
      <c r="U38" s="29">
        <f>T38/Inputs!C62</f>
        <v>0.8571428571428571</v>
      </c>
      <c r="V38" s="29">
        <f>IF(Inputs!E25="OK",(T38-Inputs!C32)/Inputs!C25,NA())</f>
        <v>0</v>
      </c>
      <c r="W38" s="30">
        <f t="shared" si="41"/>
        <v>0</v>
      </c>
      <c r="X38" s="31">
        <f t="shared" si="42"/>
        <v>0</v>
      </c>
      <c r="Y38" s="31">
        <f t="shared" si="43"/>
        <v>0</v>
      </c>
      <c r="Z38" s="31">
        <f t="shared" si="44"/>
        <v>0</v>
      </c>
      <c r="AA38" s="31">
        <f t="shared" si="45"/>
        <v>0</v>
      </c>
      <c r="AB38" s="31">
        <f t="shared" si="46"/>
        <v>0</v>
      </c>
      <c r="AC38" s="31">
        <f t="shared" si="47"/>
        <v>0</v>
      </c>
      <c r="AD38" s="31">
        <f t="shared" si="48"/>
        <v>0</v>
      </c>
      <c r="AE38" s="31">
        <f t="shared" si="49"/>
        <v>0</v>
      </c>
      <c r="AF38" s="31">
        <f t="shared" si="50"/>
        <v>0</v>
      </c>
      <c r="AG38" s="31">
        <f t="shared" si="51"/>
        <v>0</v>
      </c>
      <c r="AH38" s="31">
        <f t="shared" si="52"/>
        <v>0</v>
      </c>
      <c r="AI38" s="31">
        <f t="shared" si="53"/>
        <v>0</v>
      </c>
      <c r="AJ38" s="31">
        <f t="shared" si="54"/>
        <v>0</v>
      </c>
      <c r="AK38" s="31">
        <f t="shared" si="55"/>
        <v>0</v>
      </c>
      <c r="AL38" s="31">
        <f t="shared" si="56"/>
        <v>0</v>
      </c>
      <c r="AM38" s="31">
        <f t="shared" si="57"/>
        <v>0</v>
      </c>
      <c r="AN38" s="31">
        <f t="shared" si="58"/>
        <v>0</v>
      </c>
      <c r="AO38" s="31">
        <f t="shared" si="59"/>
        <v>0</v>
      </c>
      <c r="AP38" s="31">
        <f t="shared" si="60"/>
        <v>0</v>
      </c>
      <c r="AQ38" s="31">
        <f t="shared" si="61"/>
        <v>0</v>
      </c>
      <c r="AR38" s="31">
        <f t="shared" si="62"/>
        <v>0</v>
      </c>
      <c r="AS38" s="31">
        <f t="shared" si="63"/>
        <v>0</v>
      </c>
      <c r="AT38" s="31">
        <f t="shared" si="64"/>
        <v>0</v>
      </c>
      <c r="AU38" s="31">
        <f t="shared" si="65"/>
        <v>0</v>
      </c>
    </row>
    <row r="39" spans="2:47" ht="37.950000000000003" customHeight="1" x14ac:dyDescent="0.3">
      <c r="B39" s="21" t="s">
        <v>290</v>
      </c>
      <c r="C39" s="29">
        <f>Mission!F9+(Mission!G9-Mission!F9)*0/2</f>
        <v>0</v>
      </c>
      <c r="D39" s="29">
        <f>Mission!H9</f>
        <v>0</v>
      </c>
      <c r="E39" s="29">
        <f>Mission!E9</f>
        <v>1.1000000000000001</v>
      </c>
      <c r="F39" s="29">
        <v>1</v>
      </c>
      <c r="G39" s="29">
        <f t="shared" si="33"/>
        <v>0</v>
      </c>
      <c r="H39" s="29">
        <f>IF(Inputs!E27="OK",0.5*Inputs!C27*Inputs!C58*G39^2,NA())</f>
        <v>0</v>
      </c>
      <c r="I39" s="29">
        <f>IF(F39=0,0,H39+Inputs!C55*D39)</f>
        <v>0</v>
      </c>
      <c r="J39" s="29">
        <f>IF(F39=0,0,IF(AND(ISNUMBER(E39),E39&gt;=1,E39&lt;=10),Inputs!C56*E39,NA()))</f>
        <v>12.580706118750001</v>
      </c>
      <c r="K39" s="29">
        <f t="shared" si="34"/>
        <v>12.580706118750001</v>
      </c>
      <c r="L39" s="29">
        <f t="shared" si="35"/>
        <v>0</v>
      </c>
      <c r="M39" s="29">
        <f t="shared" si="36"/>
        <v>0</v>
      </c>
      <c r="N39" s="29">
        <f t="shared" si="37"/>
        <v>0</v>
      </c>
      <c r="O39" s="29">
        <f>IF(F39=0,0,IF(Inputs!E27="OK",SQRT(K39/(2*Inputs!C27*Inputs!C57)),NA()))</f>
        <v>10.066785369367343</v>
      </c>
      <c r="P39" s="29">
        <f t="shared" si="38"/>
        <v>10.066784769340176</v>
      </c>
      <c r="Q39" s="29">
        <f t="shared" si="39"/>
        <v>126.64726074377727</v>
      </c>
      <c r="R39" s="29">
        <f t="shared" si="40"/>
        <v>0</v>
      </c>
      <c r="S39" s="29">
        <f>IF(F39=0,0,IF(Inputs!E30="OK",SUM(Q39:R39)/Inputs!C30,NA()))</f>
        <v>194.84193960581118</v>
      </c>
      <c r="T39" s="29">
        <f>IF(AND(Inputs!E31="OK",Inputs!E32="OK"),S39/Inputs!C31+Inputs!C32,NA())</f>
        <v>234.49104400645686</v>
      </c>
      <c r="U39" s="29">
        <f>T39/Inputs!C62</f>
        <v>11.166240190783659</v>
      </c>
      <c r="V39" s="29">
        <f>IF(Inputs!E25="OK",(T39-Inputs!C32)/Inputs!C25,NA())</f>
        <v>54.122761001614215</v>
      </c>
      <c r="W39" s="30">
        <f t="shared" si="41"/>
        <v>-1.1920928628872649E-7</v>
      </c>
      <c r="X39" s="31">
        <f t="shared" si="42"/>
        <v>5.0333926846836716</v>
      </c>
      <c r="Y39" s="31">
        <f t="shared" si="43"/>
        <v>7.550089027025507</v>
      </c>
      <c r="Z39" s="31">
        <f t="shared" si="44"/>
        <v>8.8084371981964242</v>
      </c>
      <c r="AA39" s="31">
        <f t="shared" si="45"/>
        <v>9.4376112837818837</v>
      </c>
      <c r="AB39" s="31">
        <f t="shared" si="46"/>
        <v>9.7521983265746126</v>
      </c>
      <c r="AC39" s="31">
        <f t="shared" si="47"/>
        <v>9.9094918479709779</v>
      </c>
      <c r="AD39" s="31">
        <f t="shared" si="48"/>
        <v>9.9881386086691606</v>
      </c>
      <c r="AE39" s="31">
        <f t="shared" si="49"/>
        <v>10.027461989018251</v>
      </c>
      <c r="AF39" s="31">
        <f t="shared" si="50"/>
        <v>10.047123679192797</v>
      </c>
      <c r="AG39" s="31">
        <f t="shared" si="51"/>
        <v>10.056954524280069</v>
      </c>
      <c r="AH39" s="31">
        <f t="shared" si="52"/>
        <v>10.061869946823705</v>
      </c>
      <c r="AI39" s="31">
        <f t="shared" si="53"/>
        <v>10.064327658095523</v>
      </c>
      <c r="AJ39" s="31">
        <f t="shared" si="54"/>
        <v>10.065556513731433</v>
      </c>
      <c r="AK39" s="31">
        <f t="shared" si="55"/>
        <v>10.066170941549387</v>
      </c>
      <c r="AL39" s="31">
        <f t="shared" si="56"/>
        <v>10.066478155458364</v>
      </c>
      <c r="AM39" s="31">
        <f t="shared" si="57"/>
        <v>10.066631762412854</v>
      </c>
      <c r="AN39" s="31">
        <f t="shared" si="58"/>
        <v>10.066708565890098</v>
      </c>
      <c r="AO39" s="31">
        <f t="shared" si="59"/>
        <v>10.06674696762872</v>
      </c>
      <c r="AP39" s="31">
        <f t="shared" si="60"/>
        <v>10.066766168498031</v>
      </c>
      <c r="AQ39" s="31">
        <f t="shared" si="61"/>
        <v>10.066775768932686</v>
      </c>
      <c r="AR39" s="31">
        <f t="shared" si="62"/>
        <v>10.066780569150014</v>
      </c>
      <c r="AS39" s="31">
        <f t="shared" si="63"/>
        <v>10.066782969258679</v>
      </c>
      <c r="AT39" s="31">
        <f t="shared" si="64"/>
        <v>10.06678416931301</v>
      </c>
      <c r="AU39" s="31">
        <f t="shared" si="65"/>
        <v>10.066784769340176</v>
      </c>
    </row>
    <row r="40" spans="2:47" ht="37.950000000000003" customHeight="1" x14ac:dyDescent="0.3">
      <c r="B40" s="21" t="s">
        <v>291</v>
      </c>
      <c r="C40" s="29">
        <f>Mission!F9+(Mission!G9-Mission!F9)*1/2</f>
        <v>0</v>
      </c>
      <c r="D40" s="29">
        <f>Mission!H9</f>
        <v>0</v>
      </c>
      <c r="E40" s="29">
        <f>Mission!E9</f>
        <v>1.1000000000000001</v>
      </c>
      <c r="F40" s="29">
        <v>1</v>
      </c>
      <c r="G40" s="29">
        <f t="shared" si="33"/>
        <v>0</v>
      </c>
      <c r="H40" s="29">
        <f>IF(Inputs!E27="OK",0.5*Inputs!C27*Inputs!C58*G40^2,NA())</f>
        <v>0</v>
      </c>
      <c r="I40" s="29">
        <f>IF(F40=0,0,H40+Inputs!C55*D40)</f>
        <v>0</v>
      </c>
      <c r="J40" s="29">
        <f>IF(F40=0,0,IF(AND(ISNUMBER(E40),E40&gt;=1,E40&lt;=10),Inputs!C56*E40,NA()))</f>
        <v>12.580706118750001</v>
      </c>
      <c r="K40" s="29">
        <f t="shared" si="34"/>
        <v>12.580706118750001</v>
      </c>
      <c r="L40" s="29">
        <f t="shared" si="35"/>
        <v>0</v>
      </c>
      <c r="M40" s="29">
        <f t="shared" si="36"/>
        <v>0</v>
      </c>
      <c r="N40" s="29">
        <f t="shared" si="37"/>
        <v>0</v>
      </c>
      <c r="O40" s="29">
        <f>IF(F40=0,0,IF(Inputs!E27="OK",SQRT(K40/(2*Inputs!C27*Inputs!C57)),NA()))</f>
        <v>10.066785369367343</v>
      </c>
      <c r="P40" s="29">
        <f t="shared" si="38"/>
        <v>10.066784769340176</v>
      </c>
      <c r="Q40" s="29">
        <f t="shared" si="39"/>
        <v>126.64726074377727</v>
      </c>
      <c r="R40" s="29">
        <f t="shared" si="40"/>
        <v>0</v>
      </c>
      <c r="S40" s="29">
        <f>IF(F40=0,0,IF(Inputs!E30="OK",SUM(Q40:R40)/Inputs!C30,NA()))</f>
        <v>194.84193960581118</v>
      </c>
      <c r="T40" s="29">
        <f>IF(AND(Inputs!E31="OK",Inputs!E32="OK"),S40/Inputs!C31+Inputs!C32,NA())</f>
        <v>234.49104400645686</v>
      </c>
      <c r="U40" s="29">
        <f>T40/Inputs!C62</f>
        <v>11.166240190783659</v>
      </c>
      <c r="V40" s="29">
        <f>IF(Inputs!E25="OK",(T40-Inputs!C32)/Inputs!C25,NA())</f>
        <v>54.122761001614215</v>
      </c>
      <c r="W40" s="30">
        <f t="shared" si="41"/>
        <v>-1.1920928628872649E-7</v>
      </c>
      <c r="X40" s="31">
        <f t="shared" si="42"/>
        <v>5.0333926846836716</v>
      </c>
      <c r="Y40" s="31">
        <f t="shared" si="43"/>
        <v>7.550089027025507</v>
      </c>
      <c r="Z40" s="31">
        <f t="shared" si="44"/>
        <v>8.8084371981964242</v>
      </c>
      <c r="AA40" s="31">
        <f t="shared" si="45"/>
        <v>9.4376112837818837</v>
      </c>
      <c r="AB40" s="31">
        <f t="shared" si="46"/>
        <v>9.7521983265746126</v>
      </c>
      <c r="AC40" s="31">
        <f t="shared" si="47"/>
        <v>9.9094918479709779</v>
      </c>
      <c r="AD40" s="31">
        <f t="shared" si="48"/>
        <v>9.9881386086691606</v>
      </c>
      <c r="AE40" s="31">
        <f t="shared" si="49"/>
        <v>10.027461989018251</v>
      </c>
      <c r="AF40" s="31">
        <f t="shared" si="50"/>
        <v>10.047123679192797</v>
      </c>
      <c r="AG40" s="31">
        <f t="shared" si="51"/>
        <v>10.056954524280069</v>
      </c>
      <c r="AH40" s="31">
        <f t="shared" si="52"/>
        <v>10.061869946823705</v>
      </c>
      <c r="AI40" s="31">
        <f t="shared" si="53"/>
        <v>10.064327658095523</v>
      </c>
      <c r="AJ40" s="31">
        <f t="shared" si="54"/>
        <v>10.065556513731433</v>
      </c>
      <c r="AK40" s="31">
        <f t="shared" si="55"/>
        <v>10.066170941549387</v>
      </c>
      <c r="AL40" s="31">
        <f t="shared" si="56"/>
        <v>10.066478155458364</v>
      </c>
      <c r="AM40" s="31">
        <f t="shared" si="57"/>
        <v>10.066631762412854</v>
      </c>
      <c r="AN40" s="31">
        <f t="shared" si="58"/>
        <v>10.066708565890098</v>
      </c>
      <c r="AO40" s="31">
        <f t="shared" si="59"/>
        <v>10.06674696762872</v>
      </c>
      <c r="AP40" s="31">
        <f t="shared" si="60"/>
        <v>10.066766168498031</v>
      </c>
      <c r="AQ40" s="31">
        <f t="shared" si="61"/>
        <v>10.066775768932686</v>
      </c>
      <c r="AR40" s="31">
        <f t="shared" si="62"/>
        <v>10.066780569150014</v>
      </c>
      <c r="AS40" s="31">
        <f t="shared" si="63"/>
        <v>10.066782969258679</v>
      </c>
      <c r="AT40" s="31">
        <f t="shared" si="64"/>
        <v>10.06678416931301</v>
      </c>
      <c r="AU40" s="31">
        <f t="shared" si="65"/>
        <v>10.066784769340176</v>
      </c>
    </row>
    <row r="41" spans="2:47" ht="37.950000000000003" customHeight="1" x14ac:dyDescent="0.3">
      <c r="B41" s="21" t="s">
        <v>292</v>
      </c>
      <c r="C41" s="29">
        <f>Mission!F9+(Mission!G9-Mission!F9)*2/2</f>
        <v>0</v>
      </c>
      <c r="D41" s="29">
        <f>Mission!H9</f>
        <v>0</v>
      </c>
      <c r="E41" s="29">
        <f>Mission!E9</f>
        <v>1.1000000000000001</v>
      </c>
      <c r="F41" s="29">
        <v>1</v>
      </c>
      <c r="G41" s="29">
        <f t="shared" si="33"/>
        <v>0</v>
      </c>
      <c r="H41" s="29">
        <f>IF(Inputs!E27="OK",0.5*Inputs!C27*Inputs!C58*G41^2,NA())</f>
        <v>0</v>
      </c>
      <c r="I41" s="29">
        <f>IF(F41=0,0,H41+Inputs!C55*D41)</f>
        <v>0</v>
      </c>
      <c r="J41" s="29">
        <f>IF(F41=0,0,IF(AND(ISNUMBER(E41),E41&gt;=1,E41&lt;=10),Inputs!C56*E41,NA()))</f>
        <v>12.580706118750001</v>
      </c>
      <c r="K41" s="29">
        <f t="shared" si="34"/>
        <v>12.580706118750001</v>
      </c>
      <c r="L41" s="29">
        <f t="shared" si="35"/>
        <v>0</v>
      </c>
      <c r="M41" s="29">
        <f t="shared" si="36"/>
        <v>0</v>
      </c>
      <c r="N41" s="29">
        <f t="shared" si="37"/>
        <v>0</v>
      </c>
      <c r="O41" s="29">
        <f>IF(F41=0,0,IF(Inputs!E27="OK",SQRT(K41/(2*Inputs!C27*Inputs!C57)),NA()))</f>
        <v>10.066785369367343</v>
      </c>
      <c r="P41" s="29">
        <f t="shared" si="38"/>
        <v>10.066784769340176</v>
      </c>
      <c r="Q41" s="29">
        <f t="shared" si="39"/>
        <v>126.64726074377727</v>
      </c>
      <c r="R41" s="29">
        <f t="shared" si="40"/>
        <v>0</v>
      </c>
      <c r="S41" s="29">
        <f>IF(F41=0,0,IF(Inputs!E30="OK",SUM(Q41:R41)/Inputs!C30,NA()))</f>
        <v>194.84193960581118</v>
      </c>
      <c r="T41" s="29">
        <f>IF(AND(Inputs!E31="OK",Inputs!E32="OK"),S41/Inputs!C31+Inputs!C32,NA())</f>
        <v>234.49104400645686</v>
      </c>
      <c r="U41" s="29">
        <f>T41/Inputs!C62</f>
        <v>11.166240190783659</v>
      </c>
      <c r="V41" s="29">
        <f>IF(Inputs!E25="OK",(T41-Inputs!C32)/Inputs!C25,NA())</f>
        <v>54.122761001614215</v>
      </c>
      <c r="W41" s="30">
        <f t="shared" si="41"/>
        <v>-1.1920928628872649E-7</v>
      </c>
      <c r="X41" s="31">
        <f t="shared" si="42"/>
        <v>5.0333926846836716</v>
      </c>
      <c r="Y41" s="31">
        <f t="shared" si="43"/>
        <v>7.550089027025507</v>
      </c>
      <c r="Z41" s="31">
        <f t="shared" si="44"/>
        <v>8.8084371981964242</v>
      </c>
      <c r="AA41" s="31">
        <f t="shared" si="45"/>
        <v>9.4376112837818837</v>
      </c>
      <c r="AB41" s="31">
        <f t="shared" si="46"/>
        <v>9.7521983265746126</v>
      </c>
      <c r="AC41" s="31">
        <f t="shared" si="47"/>
        <v>9.9094918479709779</v>
      </c>
      <c r="AD41" s="31">
        <f t="shared" si="48"/>
        <v>9.9881386086691606</v>
      </c>
      <c r="AE41" s="31">
        <f t="shared" si="49"/>
        <v>10.027461989018251</v>
      </c>
      <c r="AF41" s="31">
        <f t="shared" si="50"/>
        <v>10.047123679192797</v>
      </c>
      <c r="AG41" s="31">
        <f t="shared" si="51"/>
        <v>10.056954524280069</v>
      </c>
      <c r="AH41" s="31">
        <f t="shared" si="52"/>
        <v>10.061869946823705</v>
      </c>
      <c r="AI41" s="31">
        <f t="shared" si="53"/>
        <v>10.064327658095523</v>
      </c>
      <c r="AJ41" s="31">
        <f t="shared" si="54"/>
        <v>10.065556513731433</v>
      </c>
      <c r="AK41" s="31">
        <f t="shared" si="55"/>
        <v>10.066170941549387</v>
      </c>
      <c r="AL41" s="31">
        <f t="shared" si="56"/>
        <v>10.066478155458364</v>
      </c>
      <c r="AM41" s="31">
        <f t="shared" si="57"/>
        <v>10.066631762412854</v>
      </c>
      <c r="AN41" s="31">
        <f t="shared" si="58"/>
        <v>10.066708565890098</v>
      </c>
      <c r="AO41" s="31">
        <f t="shared" si="59"/>
        <v>10.06674696762872</v>
      </c>
      <c r="AP41" s="31">
        <f t="shared" si="60"/>
        <v>10.066766168498031</v>
      </c>
      <c r="AQ41" s="31">
        <f t="shared" si="61"/>
        <v>10.066775768932686</v>
      </c>
      <c r="AR41" s="31">
        <f t="shared" si="62"/>
        <v>10.066780569150014</v>
      </c>
      <c r="AS41" s="31">
        <f t="shared" si="63"/>
        <v>10.066782969258679</v>
      </c>
      <c r="AT41" s="31">
        <f t="shared" si="64"/>
        <v>10.06678416931301</v>
      </c>
      <c r="AU41" s="31">
        <f t="shared" si="65"/>
        <v>10.066784769340176</v>
      </c>
    </row>
    <row r="42" spans="2:47" ht="37.950000000000003" customHeight="1" x14ac:dyDescent="0.3">
      <c r="B42" s="21" t="s">
        <v>293</v>
      </c>
      <c r="C42" s="29">
        <f>Mission!F10+(Mission!G10-Mission!F10)*0/2</f>
        <v>0</v>
      </c>
      <c r="D42" s="29">
        <f>Mission!H10</f>
        <v>8.3333333333333321</v>
      </c>
      <c r="E42" s="29">
        <f>Mission!E10</f>
        <v>1</v>
      </c>
      <c r="F42" s="29">
        <v>1</v>
      </c>
      <c r="G42" s="29">
        <f t="shared" si="33"/>
        <v>0</v>
      </c>
      <c r="H42" s="29">
        <f>IF(Inputs!E27="OK",0.5*Inputs!C27*Inputs!C58*G42^2,NA())</f>
        <v>0</v>
      </c>
      <c r="I42" s="29">
        <f>IF(F42=0,0,H42+Inputs!C55*D42)</f>
        <v>9.7187499999999982</v>
      </c>
      <c r="J42" s="29">
        <f>IF(F42=0,0,IF(AND(ISNUMBER(E42),E42&gt;=1,E42&lt;=10),Inputs!C56*E42,NA()))</f>
        <v>11.4370055625</v>
      </c>
      <c r="K42" s="29">
        <f t="shared" si="34"/>
        <v>15.008637439792992</v>
      </c>
      <c r="L42" s="29">
        <f t="shared" si="35"/>
        <v>40.35666927929784</v>
      </c>
      <c r="M42" s="29">
        <f t="shared" si="36"/>
        <v>0</v>
      </c>
      <c r="N42" s="29">
        <f t="shared" si="37"/>
        <v>0</v>
      </c>
      <c r="O42" s="29">
        <f>IF(F42=0,0,IF(Inputs!E27="OK",SQRT(K42/(2*Inputs!C27*Inputs!C57)),NA()))</f>
        <v>10.99534685002042</v>
      </c>
      <c r="P42" s="29">
        <f t="shared" si="38"/>
        <v>10.995346194646677</v>
      </c>
      <c r="Q42" s="29">
        <f t="shared" si="39"/>
        <v>165.02516456045953</v>
      </c>
      <c r="R42" s="29">
        <f t="shared" si="40"/>
        <v>0</v>
      </c>
      <c r="S42" s="29">
        <f>IF(F42=0,0,IF(Inputs!E30="OK",SUM(Q42:R42)/Inputs!C30,NA()))</f>
        <v>253.88486855455312</v>
      </c>
      <c r="T42" s="29">
        <f>IF(AND(Inputs!E31="OK",Inputs!E32="OK"),S42/Inputs!C31+Inputs!C32,NA())</f>
        <v>300.09429839394789</v>
      </c>
      <c r="U42" s="29">
        <f>T42/Inputs!C62</f>
        <v>14.29020468542609</v>
      </c>
      <c r="V42" s="29">
        <f>IF(Inputs!E25="OK",(T42-Inputs!C32)/Inputs!C25,NA())</f>
        <v>70.523574598486974</v>
      </c>
      <c r="W42" s="30">
        <f t="shared" si="41"/>
        <v>-1.1920928594177276E-7</v>
      </c>
      <c r="X42" s="31">
        <f t="shared" si="42"/>
        <v>5.4976734250102099</v>
      </c>
      <c r="Y42" s="31">
        <f t="shared" si="43"/>
        <v>8.2465101375153154</v>
      </c>
      <c r="Z42" s="31">
        <f t="shared" si="44"/>
        <v>9.6209284937678685</v>
      </c>
      <c r="AA42" s="31">
        <f t="shared" si="45"/>
        <v>10.308137671894144</v>
      </c>
      <c r="AB42" s="31">
        <f t="shared" si="46"/>
        <v>10.651742260957283</v>
      </c>
      <c r="AC42" s="31">
        <f t="shared" si="47"/>
        <v>10.823544555488851</v>
      </c>
      <c r="AD42" s="31">
        <f t="shared" si="48"/>
        <v>10.909445702754637</v>
      </c>
      <c r="AE42" s="31">
        <f t="shared" si="49"/>
        <v>10.952396276387528</v>
      </c>
      <c r="AF42" s="31">
        <f t="shared" si="50"/>
        <v>10.973871563203975</v>
      </c>
      <c r="AG42" s="31">
        <f t="shared" si="51"/>
        <v>10.984609206612198</v>
      </c>
      <c r="AH42" s="31">
        <f t="shared" si="52"/>
        <v>10.98997802831631</v>
      </c>
      <c r="AI42" s="31">
        <f t="shared" si="53"/>
        <v>10.992662439168365</v>
      </c>
      <c r="AJ42" s="31">
        <f t="shared" si="54"/>
        <v>10.994004644594392</v>
      </c>
      <c r="AK42" s="31">
        <f t="shared" si="55"/>
        <v>10.994675747307406</v>
      </c>
      <c r="AL42" s="31">
        <f t="shared" si="56"/>
        <v>10.995011298663913</v>
      </c>
      <c r="AM42" s="31">
        <f t="shared" si="57"/>
        <v>10.995179074342166</v>
      </c>
      <c r="AN42" s="31">
        <f t="shared" si="58"/>
        <v>10.995262962181293</v>
      </c>
      <c r="AO42" s="31">
        <f t="shared" si="59"/>
        <v>10.995304906100857</v>
      </c>
      <c r="AP42" s="31">
        <f t="shared" si="60"/>
        <v>10.995325878060639</v>
      </c>
      <c r="AQ42" s="31">
        <f t="shared" si="61"/>
        <v>10.995336364040529</v>
      </c>
      <c r="AR42" s="31">
        <f t="shared" si="62"/>
        <v>10.995341607030475</v>
      </c>
      <c r="AS42" s="31">
        <f t="shared" si="63"/>
        <v>10.995344228525449</v>
      </c>
      <c r="AT42" s="31">
        <f t="shared" si="64"/>
        <v>10.995345539272934</v>
      </c>
      <c r="AU42" s="31">
        <f t="shared" si="65"/>
        <v>10.995346194646677</v>
      </c>
    </row>
    <row r="43" spans="2:47" ht="37.950000000000003" customHeight="1" x14ac:dyDescent="0.3">
      <c r="B43" s="21" t="s">
        <v>294</v>
      </c>
      <c r="C43" s="29">
        <f>Mission!F10+(Mission!G10-Mission!F10)*1/2</f>
        <v>150</v>
      </c>
      <c r="D43" s="29">
        <f>Mission!H10</f>
        <v>8.3333333333333321</v>
      </c>
      <c r="E43" s="29">
        <f>Mission!E10</f>
        <v>1</v>
      </c>
      <c r="F43" s="29">
        <v>1</v>
      </c>
      <c r="G43" s="29">
        <f t="shared" si="33"/>
        <v>41.666666666666664</v>
      </c>
      <c r="H43" s="29">
        <f>IF(Inputs!E27="OK",0.5*Inputs!C27*Inputs!C58*G43^2,NA())</f>
        <v>6.8055555555555562</v>
      </c>
      <c r="I43" s="29">
        <f>IF(F43=0,0,H43+Inputs!C55*D43)</f>
        <v>16.524305555555554</v>
      </c>
      <c r="J43" s="29">
        <f>IF(F43=0,0,IF(AND(ISNUMBER(E43),E43&gt;=1,E43&lt;=10),Inputs!C56*E43,NA()))</f>
        <v>11.4370055625</v>
      </c>
      <c r="K43" s="29">
        <f t="shared" si="34"/>
        <v>20.096212835507593</v>
      </c>
      <c r="L43" s="29">
        <f t="shared" si="35"/>
        <v>55.311640423472561</v>
      </c>
      <c r="M43" s="29">
        <f t="shared" si="36"/>
        <v>34.26082004192164</v>
      </c>
      <c r="N43" s="29">
        <f t="shared" si="37"/>
        <v>23.713020076872777</v>
      </c>
      <c r="O43" s="29">
        <f>IF(F43=0,0,IF(Inputs!E27="OK",SQRT(K43/(2*Inputs!C27*Inputs!C57)),NA()))</f>
        <v>12.723172381840911</v>
      </c>
      <c r="P43" s="29">
        <f t="shared" si="38"/>
        <v>3.6220639195161186</v>
      </c>
      <c r="Q43" s="29">
        <f t="shared" si="39"/>
        <v>72.789767430408759</v>
      </c>
      <c r="R43" s="29">
        <f t="shared" si="40"/>
        <v>688.51273148148141</v>
      </c>
      <c r="S43" s="29">
        <f>IF(F43=0,0,IF(Inputs!E30="OK",SUM(Q43:R43)/Inputs!C30,NA()))</f>
        <v>1171.2346137106003</v>
      </c>
      <c r="T43" s="29">
        <f>IF(AND(Inputs!E31="OK",Inputs!E32="OK"),S43/Inputs!C31+Inputs!C32,NA())</f>
        <v>1319.3717930117782</v>
      </c>
      <c r="U43" s="29">
        <f>T43/Inputs!C62</f>
        <v>62.827228238656105</v>
      </c>
      <c r="V43" s="29">
        <f>IF(Inputs!E25="OK",(T43-Inputs!C32)/Inputs!C25,NA())</f>
        <v>325.34294825294455</v>
      </c>
      <c r="W43" s="30">
        <f t="shared" si="41"/>
        <v>1.9129643487813989E-8</v>
      </c>
      <c r="X43" s="31">
        <f t="shared" si="42"/>
        <v>6.3615861909204554</v>
      </c>
      <c r="Y43" s="31">
        <f t="shared" si="43"/>
        <v>3.1807930954602277</v>
      </c>
      <c r="Z43" s="31">
        <f t="shared" si="44"/>
        <v>4.7711896431903416</v>
      </c>
      <c r="AA43" s="31">
        <f t="shared" si="45"/>
        <v>3.9759913693252846</v>
      </c>
      <c r="AB43" s="31">
        <f t="shared" si="46"/>
        <v>3.5783922323927562</v>
      </c>
      <c r="AC43" s="31">
        <f t="shared" si="47"/>
        <v>3.7771918008590202</v>
      </c>
      <c r="AD43" s="31">
        <f t="shared" si="48"/>
        <v>3.6777920166258879</v>
      </c>
      <c r="AE43" s="31">
        <f t="shared" si="49"/>
        <v>3.6280921245093221</v>
      </c>
      <c r="AF43" s="31">
        <f t="shared" si="50"/>
        <v>3.6032421784510391</v>
      </c>
      <c r="AG43" s="31">
        <f t="shared" si="51"/>
        <v>3.6156671514801806</v>
      </c>
      <c r="AH43" s="31">
        <f t="shared" si="52"/>
        <v>3.6218796379947515</v>
      </c>
      <c r="AI43" s="31">
        <f t="shared" si="53"/>
        <v>3.6249858812520368</v>
      </c>
      <c r="AJ43" s="31">
        <f t="shared" si="54"/>
        <v>3.6234327596233942</v>
      </c>
      <c r="AK43" s="31">
        <f t="shared" si="55"/>
        <v>3.6226561988090729</v>
      </c>
      <c r="AL43" s="31">
        <f t="shared" si="56"/>
        <v>3.6222679184019122</v>
      </c>
      <c r="AM43" s="31">
        <f t="shared" si="57"/>
        <v>3.6220737781983319</v>
      </c>
      <c r="AN43" s="31">
        <f t="shared" si="58"/>
        <v>3.6219767080965415</v>
      </c>
      <c r="AO43" s="31">
        <f t="shared" si="59"/>
        <v>3.6220252431474367</v>
      </c>
      <c r="AP43" s="31">
        <f t="shared" si="60"/>
        <v>3.6220495106728841</v>
      </c>
      <c r="AQ43" s="31">
        <f t="shared" si="61"/>
        <v>3.622061644435608</v>
      </c>
      <c r="AR43" s="31">
        <f t="shared" si="62"/>
        <v>3.6220677113169697</v>
      </c>
      <c r="AS43" s="31">
        <f t="shared" si="63"/>
        <v>3.6220646778762888</v>
      </c>
      <c r="AT43" s="31">
        <f t="shared" si="64"/>
        <v>3.6220631611559484</v>
      </c>
      <c r="AU43" s="31">
        <f t="shared" si="65"/>
        <v>3.6220639195161186</v>
      </c>
    </row>
    <row r="44" spans="2:47" ht="37.950000000000003" customHeight="1" x14ac:dyDescent="0.3">
      <c r="B44" s="21" t="s">
        <v>295</v>
      </c>
      <c r="C44" s="29">
        <f>Mission!F10+(Mission!G10-Mission!F10)*2/2</f>
        <v>300</v>
      </c>
      <c r="D44" s="29">
        <f>Mission!H10</f>
        <v>8.3333333333333321</v>
      </c>
      <c r="E44" s="29">
        <f>Mission!E10</f>
        <v>1</v>
      </c>
      <c r="F44" s="29">
        <v>1</v>
      </c>
      <c r="G44" s="29">
        <f t="shared" si="33"/>
        <v>83.333333333333329</v>
      </c>
      <c r="H44" s="29">
        <f>IF(Inputs!E27="OK",0.5*Inputs!C27*Inputs!C58*G44^2,NA())</f>
        <v>27.222222222222225</v>
      </c>
      <c r="I44" s="29">
        <f>IF(F44=0,0,H44+Inputs!C55*D44)</f>
        <v>36.940972222222221</v>
      </c>
      <c r="J44" s="29">
        <f>IF(F44=0,0,IF(AND(ISNUMBER(E44),E44&gt;=1,E44&lt;=10),Inputs!C56*E44,NA()))</f>
        <v>11.4370055625</v>
      </c>
      <c r="K44" s="29">
        <f t="shared" si="34"/>
        <v>38.670926093897073</v>
      </c>
      <c r="L44" s="29">
        <f t="shared" si="35"/>
        <v>72.797361110619008</v>
      </c>
      <c r="M44" s="29">
        <f t="shared" si="36"/>
        <v>79.605395132693175</v>
      </c>
      <c r="N44" s="29">
        <f t="shared" si="37"/>
        <v>24.646003940035268</v>
      </c>
      <c r="O44" s="29">
        <f>IF(F44=0,0,IF(Inputs!E27="OK",SQRT(K44/(2*Inputs!C27*Inputs!C57)),NA()))</f>
        <v>17.649426047698938</v>
      </c>
      <c r="P44" s="29">
        <f t="shared" si="38"/>
        <v>3.590008204176852</v>
      </c>
      <c r="Q44" s="29">
        <f t="shared" si="39"/>
        <v>138.82894194020719</v>
      </c>
      <c r="R44" s="29">
        <f t="shared" si="40"/>
        <v>3078.4143518518517</v>
      </c>
      <c r="S44" s="29">
        <f>IF(F44=0,0,IF(Inputs!E30="OK",SUM(Q44:R44)/Inputs!C30,NA()))</f>
        <v>4949.6050673723985</v>
      </c>
      <c r="T44" s="29">
        <f>IF(AND(Inputs!E31="OK",Inputs!E32="OK"),S44/Inputs!C31+Inputs!C32,NA())</f>
        <v>5517.5611859693317</v>
      </c>
      <c r="U44" s="29">
        <f>T44/Inputs!C62</f>
        <v>262.74100885568248</v>
      </c>
      <c r="V44" s="29">
        <f>IF(Inputs!E25="OK",(T44-Inputs!C32)/Inputs!C25,NA())</f>
        <v>1374.8902964923329</v>
      </c>
      <c r="W44" s="30">
        <f t="shared" si="41"/>
        <v>1.1600417950297065E-7</v>
      </c>
      <c r="X44" s="31">
        <f t="shared" si="42"/>
        <v>8.8247130238494691</v>
      </c>
      <c r="Y44" s="31">
        <f t="shared" si="43"/>
        <v>4.4123565119247345</v>
      </c>
      <c r="Z44" s="31">
        <f t="shared" si="44"/>
        <v>2.2061782559623673</v>
      </c>
      <c r="AA44" s="31">
        <f t="shared" si="45"/>
        <v>3.3092673839435509</v>
      </c>
      <c r="AB44" s="31">
        <f t="shared" si="46"/>
        <v>3.8608119479341427</v>
      </c>
      <c r="AC44" s="31">
        <f t="shared" si="47"/>
        <v>3.5850396659388468</v>
      </c>
      <c r="AD44" s="31">
        <f t="shared" si="48"/>
        <v>3.7229258069364946</v>
      </c>
      <c r="AE44" s="31">
        <f t="shared" si="49"/>
        <v>3.6539827364376705</v>
      </c>
      <c r="AF44" s="31">
        <f t="shared" si="50"/>
        <v>3.6195112011882586</v>
      </c>
      <c r="AG44" s="31">
        <f t="shared" si="51"/>
        <v>3.6022754335635527</v>
      </c>
      <c r="AH44" s="31">
        <f t="shared" si="52"/>
        <v>3.5936575497511996</v>
      </c>
      <c r="AI44" s="31">
        <f t="shared" si="53"/>
        <v>3.589348607845023</v>
      </c>
      <c r="AJ44" s="31">
        <f t="shared" si="54"/>
        <v>3.591503078798111</v>
      </c>
      <c r="AK44" s="31">
        <f t="shared" si="55"/>
        <v>3.590425843321567</v>
      </c>
      <c r="AL44" s="31">
        <f t="shared" si="56"/>
        <v>3.5898872255832948</v>
      </c>
      <c r="AM44" s="31">
        <f t="shared" si="57"/>
        <v>3.5901565344524307</v>
      </c>
      <c r="AN44" s="31">
        <f t="shared" si="58"/>
        <v>3.5900218800178627</v>
      </c>
      <c r="AO44" s="31">
        <f t="shared" si="59"/>
        <v>3.5899545528005787</v>
      </c>
      <c r="AP44" s="31">
        <f t="shared" si="60"/>
        <v>3.5899882164092207</v>
      </c>
      <c r="AQ44" s="31">
        <f t="shared" si="61"/>
        <v>3.5900050482135417</v>
      </c>
      <c r="AR44" s="31">
        <f t="shared" si="62"/>
        <v>3.5900134641157022</v>
      </c>
      <c r="AS44" s="31">
        <f t="shared" si="63"/>
        <v>3.5900092561646217</v>
      </c>
      <c r="AT44" s="31">
        <f t="shared" si="64"/>
        <v>3.5900071521890817</v>
      </c>
      <c r="AU44" s="31">
        <f t="shared" si="65"/>
        <v>3.590008204176852</v>
      </c>
    </row>
    <row r="45" spans="2:47" ht="37.950000000000003" customHeight="1" x14ac:dyDescent="0.3">
      <c r="B45" s="21" t="s">
        <v>296</v>
      </c>
      <c r="C45" s="29">
        <f>Mission!F11+(Mission!G11-Mission!F11)*0/2</f>
        <v>300</v>
      </c>
      <c r="D45" s="29">
        <f>Mission!H11</f>
        <v>0</v>
      </c>
      <c r="E45" s="29">
        <f>Mission!E11</f>
        <v>1</v>
      </c>
      <c r="F45" s="29">
        <v>1</v>
      </c>
      <c r="G45" s="29">
        <f t="shared" si="33"/>
        <v>83.333333333333329</v>
      </c>
      <c r="H45" s="29">
        <f>IF(Inputs!E27="OK",0.5*Inputs!C27*Inputs!C58*G45^2,NA())</f>
        <v>27.222222222222225</v>
      </c>
      <c r="I45" s="29">
        <f>IF(F45=0,0,H45+Inputs!C55*D45)</f>
        <v>27.222222222222225</v>
      </c>
      <c r="J45" s="29">
        <f>IF(F45=0,0,IF(AND(ISNUMBER(E45),E45&gt;=1,E45&lt;=10),Inputs!C56*E45,NA()))</f>
        <v>11.4370055625</v>
      </c>
      <c r="K45" s="29">
        <f t="shared" si="34"/>
        <v>29.527182035417898</v>
      </c>
      <c r="L45" s="29">
        <f t="shared" si="35"/>
        <v>67.211024458160693</v>
      </c>
      <c r="M45" s="29">
        <f t="shared" si="36"/>
        <v>76.828141466308139</v>
      </c>
      <c r="N45" s="29">
        <f t="shared" si="37"/>
        <v>32.278183394940115</v>
      </c>
      <c r="O45" s="29">
        <f>IF(F45=0,0,IF(Inputs!E27="OK",SQRT(K45/(2*Inputs!C27*Inputs!C57)),NA()))</f>
        <v>15.42230548079355</v>
      </c>
      <c r="P45" s="29">
        <f t="shared" si="38"/>
        <v>2.769115273607023</v>
      </c>
      <c r="Q45" s="29">
        <f t="shared" si="39"/>
        <v>81.764170760850604</v>
      </c>
      <c r="R45" s="29">
        <f t="shared" si="40"/>
        <v>2268.5185185185187</v>
      </c>
      <c r="S45" s="29">
        <f>IF(F45=0,0,IF(Inputs!E30="OK",SUM(Q45:R45)/Inputs!C30,NA()))</f>
        <v>3615.8195219682602</v>
      </c>
      <c r="T45" s="29">
        <f>IF(AND(Inputs!E31="OK",Inputs!E32="OK"),S45/Inputs!C31+Inputs!C32,NA())</f>
        <v>4035.5772466314002</v>
      </c>
      <c r="U45" s="29">
        <f>T45/Inputs!C62</f>
        <v>192.17034507768571</v>
      </c>
      <c r="V45" s="29">
        <f>IF(Inputs!E25="OK",(T45-Inputs!C32)/Inputs!C25,NA())</f>
        <v>1004.39431165785</v>
      </c>
      <c r="W45" s="30">
        <f t="shared" si="41"/>
        <v>2.6389039295926022E-7</v>
      </c>
      <c r="X45" s="31">
        <f t="shared" si="42"/>
        <v>7.7111527403967752</v>
      </c>
      <c r="Y45" s="31">
        <f t="shared" si="43"/>
        <v>3.8555763701983876</v>
      </c>
      <c r="Z45" s="31">
        <f t="shared" si="44"/>
        <v>1.9277881850991938</v>
      </c>
      <c r="AA45" s="31">
        <f t="shared" si="45"/>
        <v>2.8916822776487905</v>
      </c>
      <c r="AB45" s="31">
        <f t="shared" si="46"/>
        <v>2.4097352313739919</v>
      </c>
      <c r="AC45" s="31">
        <f t="shared" si="47"/>
        <v>2.650708754511391</v>
      </c>
      <c r="AD45" s="31">
        <f t="shared" si="48"/>
        <v>2.7711955160800907</v>
      </c>
      <c r="AE45" s="31">
        <f t="shared" si="49"/>
        <v>2.7109521352957411</v>
      </c>
      <c r="AF45" s="31">
        <f t="shared" si="50"/>
        <v>2.7410738256879159</v>
      </c>
      <c r="AG45" s="31">
        <f t="shared" si="51"/>
        <v>2.7561346708840033</v>
      </c>
      <c r="AH45" s="31">
        <f t="shared" si="52"/>
        <v>2.763665093482047</v>
      </c>
      <c r="AI45" s="31">
        <f t="shared" si="53"/>
        <v>2.7674303047810689</v>
      </c>
      <c r="AJ45" s="31">
        <f t="shared" si="54"/>
        <v>2.76931291043058</v>
      </c>
      <c r="AK45" s="31">
        <f t="shared" si="55"/>
        <v>2.7683716076058245</v>
      </c>
      <c r="AL45" s="31">
        <f t="shared" si="56"/>
        <v>2.7688422590182022</v>
      </c>
      <c r="AM45" s="31">
        <f t="shared" si="57"/>
        <v>2.7690775847243909</v>
      </c>
      <c r="AN45" s="31">
        <f t="shared" si="58"/>
        <v>2.7691952475774855</v>
      </c>
      <c r="AO45" s="31">
        <f t="shared" si="59"/>
        <v>2.7691364161509382</v>
      </c>
      <c r="AP45" s="31">
        <f t="shared" si="60"/>
        <v>2.7691070004376646</v>
      </c>
      <c r="AQ45" s="31">
        <f t="shared" si="61"/>
        <v>2.7691217082943012</v>
      </c>
      <c r="AR45" s="31">
        <f t="shared" si="62"/>
        <v>2.7691143543659829</v>
      </c>
      <c r="AS45" s="31">
        <f t="shared" si="63"/>
        <v>2.7691180313301422</v>
      </c>
      <c r="AT45" s="31">
        <f t="shared" si="64"/>
        <v>2.7691161928480628</v>
      </c>
      <c r="AU45" s="31">
        <f t="shared" si="65"/>
        <v>2.769115273607023</v>
      </c>
    </row>
    <row r="46" spans="2:47" ht="37.950000000000003" customHeight="1" x14ac:dyDescent="0.3">
      <c r="B46" s="21" t="s">
        <v>297</v>
      </c>
      <c r="C46" s="29">
        <f>Mission!F11+(Mission!G11-Mission!F11)*1/2</f>
        <v>300</v>
      </c>
      <c r="D46" s="29">
        <f>Mission!H11</f>
        <v>0</v>
      </c>
      <c r="E46" s="29">
        <f>Mission!E11</f>
        <v>1</v>
      </c>
      <c r="F46" s="29">
        <v>1</v>
      </c>
      <c r="G46" s="29">
        <f t="shared" si="33"/>
        <v>83.333333333333329</v>
      </c>
      <c r="H46" s="29">
        <f>IF(Inputs!E27="OK",0.5*Inputs!C27*Inputs!C58*G46^2,NA())</f>
        <v>27.222222222222225</v>
      </c>
      <c r="I46" s="29">
        <f>IF(F46=0,0,H46+Inputs!C55*D46)</f>
        <v>27.222222222222225</v>
      </c>
      <c r="J46" s="29">
        <f>IF(F46=0,0,IF(AND(ISNUMBER(E46),E46&gt;=1,E46&lt;=10),Inputs!C56*E46,NA()))</f>
        <v>11.4370055625</v>
      </c>
      <c r="K46" s="29">
        <f t="shared" si="34"/>
        <v>29.527182035417898</v>
      </c>
      <c r="L46" s="29">
        <f t="shared" si="35"/>
        <v>67.211024458160693</v>
      </c>
      <c r="M46" s="29">
        <f t="shared" si="36"/>
        <v>76.828141466308139</v>
      </c>
      <c r="N46" s="29">
        <f t="shared" si="37"/>
        <v>32.278183394940115</v>
      </c>
      <c r="O46" s="29">
        <f>IF(F46=0,0,IF(Inputs!E27="OK",SQRT(K46/(2*Inputs!C27*Inputs!C57)),NA()))</f>
        <v>15.42230548079355</v>
      </c>
      <c r="P46" s="29">
        <f t="shared" si="38"/>
        <v>2.769115273607023</v>
      </c>
      <c r="Q46" s="29">
        <f t="shared" si="39"/>
        <v>81.764170760850604</v>
      </c>
      <c r="R46" s="29">
        <f t="shared" si="40"/>
        <v>2268.5185185185187</v>
      </c>
      <c r="S46" s="29">
        <f>IF(F46=0,0,IF(Inputs!E30="OK",SUM(Q46:R46)/Inputs!C30,NA()))</f>
        <v>3615.8195219682602</v>
      </c>
      <c r="T46" s="29">
        <f>IF(AND(Inputs!E31="OK",Inputs!E32="OK"),S46/Inputs!C31+Inputs!C32,NA())</f>
        <v>4035.5772466314002</v>
      </c>
      <c r="U46" s="29">
        <f>T46/Inputs!C62</f>
        <v>192.17034507768571</v>
      </c>
      <c r="V46" s="29">
        <f>IF(Inputs!E25="OK",(T46-Inputs!C32)/Inputs!C25,NA())</f>
        <v>1004.39431165785</v>
      </c>
      <c r="W46" s="30">
        <f t="shared" si="41"/>
        <v>2.6389039295926022E-7</v>
      </c>
      <c r="X46" s="31">
        <f t="shared" si="42"/>
        <v>7.7111527403967752</v>
      </c>
      <c r="Y46" s="31">
        <f t="shared" si="43"/>
        <v>3.8555763701983876</v>
      </c>
      <c r="Z46" s="31">
        <f t="shared" si="44"/>
        <v>1.9277881850991938</v>
      </c>
      <c r="AA46" s="31">
        <f t="shared" si="45"/>
        <v>2.8916822776487905</v>
      </c>
      <c r="AB46" s="31">
        <f t="shared" si="46"/>
        <v>2.4097352313739919</v>
      </c>
      <c r="AC46" s="31">
        <f t="shared" si="47"/>
        <v>2.650708754511391</v>
      </c>
      <c r="AD46" s="31">
        <f t="shared" si="48"/>
        <v>2.7711955160800907</v>
      </c>
      <c r="AE46" s="31">
        <f t="shared" si="49"/>
        <v>2.7109521352957411</v>
      </c>
      <c r="AF46" s="31">
        <f t="shared" si="50"/>
        <v>2.7410738256879159</v>
      </c>
      <c r="AG46" s="31">
        <f t="shared" si="51"/>
        <v>2.7561346708840033</v>
      </c>
      <c r="AH46" s="31">
        <f t="shared" si="52"/>
        <v>2.763665093482047</v>
      </c>
      <c r="AI46" s="31">
        <f t="shared" si="53"/>
        <v>2.7674303047810689</v>
      </c>
      <c r="AJ46" s="31">
        <f t="shared" si="54"/>
        <v>2.76931291043058</v>
      </c>
      <c r="AK46" s="31">
        <f t="shared" si="55"/>
        <v>2.7683716076058245</v>
      </c>
      <c r="AL46" s="31">
        <f t="shared" si="56"/>
        <v>2.7688422590182022</v>
      </c>
      <c r="AM46" s="31">
        <f t="shared" si="57"/>
        <v>2.7690775847243909</v>
      </c>
      <c r="AN46" s="31">
        <f t="shared" si="58"/>
        <v>2.7691952475774855</v>
      </c>
      <c r="AO46" s="31">
        <f t="shared" si="59"/>
        <v>2.7691364161509382</v>
      </c>
      <c r="AP46" s="31">
        <f t="shared" si="60"/>
        <v>2.7691070004376646</v>
      </c>
      <c r="AQ46" s="31">
        <f t="shared" si="61"/>
        <v>2.7691217082943012</v>
      </c>
      <c r="AR46" s="31">
        <f t="shared" si="62"/>
        <v>2.7691143543659829</v>
      </c>
      <c r="AS46" s="31">
        <f t="shared" si="63"/>
        <v>2.7691180313301422</v>
      </c>
      <c r="AT46" s="31">
        <f t="shared" si="64"/>
        <v>2.7691161928480628</v>
      </c>
      <c r="AU46" s="31">
        <f t="shared" si="65"/>
        <v>2.769115273607023</v>
      </c>
    </row>
    <row r="47" spans="2:47" ht="37.950000000000003" customHeight="1" x14ac:dyDescent="0.3">
      <c r="B47" s="21" t="s">
        <v>298</v>
      </c>
      <c r="C47" s="29">
        <f>Mission!F11+(Mission!G11-Mission!F11)*2/2</f>
        <v>300</v>
      </c>
      <c r="D47" s="29">
        <f>Mission!H11</f>
        <v>0</v>
      </c>
      <c r="E47" s="29">
        <f>Mission!E11</f>
        <v>1</v>
      </c>
      <c r="F47" s="29">
        <v>1</v>
      </c>
      <c r="G47" s="29">
        <f t="shared" si="33"/>
        <v>83.333333333333329</v>
      </c>
      <c r="H47" s="29">
        <f>IF(Inputs!E27="OK",0.5*Inputs!C27*Inputs!C58*G47^2,NA())</f>
        <v>27.222222222222225</v>
      </c>
      <c r="I47" s="29">
        <f>IF(F47=0,0,H47+Inputs!C55*D47)</f>
        <v>27.222222222222225</v>
      </c>
      <c r="J47" s="29">
        <f>IF(F47=0,0,IF(AND(ISNUMBER(E47),E47&gt;=1,E47&lt;=10),Inputs!C56*E47,NA()))</f>
        <v>11.4370055625</v>
      </c>
      <c r="K47" s="29">
        <f t="shared" si="34"/>
        <v>29.527182035417898</v>
      </c>
      <c r="L47" s="29">
        <f t="shared" si="35"/>
        <v>67.211024458160693</v>
      </c>
      <c r="M47" s="29">
        <f t="shared" si="36"/>
        <v>76.828141466308139</v>
      </c>
      <c r="N47" s="29">
        <f t="shared" si="37"/>
        <v>32.278183394940115</v>
      </c>
      <c r="O47" s="29">
        <f>IF(F47=0,0,IF(Inputs!E27="OK",SQRT(K47/(2*Inputs!C27*Inputs!C57)),NA()))</f>
        <v>15.42230548079355</v>
      </c>
      <c r="P47" s="29">
        <f t="shared" si="38"/>
        <v>2.769115273607023</v>
      </c>
      <c r="Q47" s="29">
        <f t="shared" si="39"/>
        <v>81.764170760850604</v>
      </c>
      <c r="R47" s="29">
        <f t="shared" si="40"/>
        <v>2268.5185185185187</v>
      </c>
      <c r="S47" s="29">
        <f>IF(F47=0,0,IF(Inputs!E30="OK",SUM(Q47:R47)/Inputs!C30,NA()))</f>
        <v>3615.8195219682602</v>
      </c>
      <c r="T47" s="29">
        <f>IF(AND(Inputs!E31="OK",Inputs!E32="OK"),S47/Inputs!C31+Inputs!C32,NA())</f>
        <v>4035.5772466314002</v>
      </c>
      <c r="U47" s="29">
        <f>T47/Inputs!C62</f>
        <v>192.17034507768571</v>
      </c>
      <c r="V47" s="29">
        <f>IF(Inputs!E25="OK",(T47-Inputs!C32)/Inputs!C25,NA())</f>
        <v>1004.39431165785</v>
      </c>
      <c r="W47" s="30">
        <f t="shared" si="41"/>
        <v>2.6389039295926022E-7</v>
      </c>
      <c r="X47" s="31">
        <f t="shared" si="42"/>
        <v>7.7111527403967752</v>
      </c>
      <c r="Y47" s="31">
        <f t="shared" si="43"/>
        <v>3.8555763701983876</v>
      </c>
      <c r="Z47" s="31">
        <f t="shared" si="44"/>
        <v>1.9277881850991938</v>
      </c>
      <c r="AA47" s="31">
        <f t="shared" si="45"/>
        <v>2.8916822776487905</v>
      </c>
      <c r="AB47" s="31">
        <f t="shared" si="46"/>
        <v>2.4097352313739919</v>
      </c>
      <c r="AC47" s="31">
        <f t="shared" si="47"/>
        <v>2.650708754511391</v>
      </c>
      <c r="AD47" s="31">
        <f t="shared" si="48"/>
        <v>2.7711955160800907</v>
      </c>
      <c r="AE47" s="31">
        <f t="shared" si="49"/>
        <v>2.7109521352957411</v>
      </c>
      <c r="AF47" s="31">
        <f t="shared" si="50"/>
        <v>2.7410738256879159</v>
      </c>
      <c r="AG47" s="31">
        <f t="shared" si="51"/>
        <v>2.7561346708840033</v>
      </c>
      <c r="AH47" s="31">
        <f t="shared" si="52"/>
        <v>2.763665093482047</v>
      </c>
      <c r="AI47" s="31">
        <f t="shared" si="53"/>
        <v>2.7674303047810689</v>
      </c>
      <c r="AJ47" s="31">
        <f t="shared" si="54"/>
        <v>2.76931291043058</v>
      </c>
      <c r="AK47" s="31">
        <f t="shared" si="55"/>
        <v>2.7683716076058245</v>
      </c>
      <c r="AL47" s="31">
        <f t="shared" si="56"/>
        <v>2.7688422590182022</v>
      </c>
      <c r="AM47" s="31">
        <f t="shared" si="57"/>
        <v>2.7690775847243909</v>
      </c>
      <c r="AN47" s="31">
        <f t="shared" si="58"/>
        <v>2.7691952475774855</v>
      </c>
      <c r="AO47" s="31">
        <f t="shared" si="59"/>
        <v>2.7691364161509382</v>
      </c>
      <c r="AP47" s="31">
        <f t="shared" si="60"/>
        <v>2.7691070004376646</v>
      </c>
      <c r="AQ47" s="31">
        <f t="shared" si="61"/>
        <v>2.7691217082943012</v>
      </c>
      <c r="AR47" s="31">
        <f t="shared" si="62"/>
        <v>2.7691143543659829</v>
      </c>
      <c r="AS47" s="31">
        <f t="shared" si="63"/>
        <v>2.7691180313301422</v>
      </c>
      <c r="AT47" s="31">
        <f t="shared" si="64"/>
        <v>2.7691161928480628</v>
      </c>
      <c r="AU47" s="31">
        <f t="shared" si="65"/>
        <v>2.769115273607023</v>
      </c>
    </row>
    <row r="48" spans="2:47" ht="37.950000000000003" customHeight="1" x14ac:dyDescent="0.3">
      <c r="B48" s="21" t="s">
        <v>299</v>
      </c>
      <c r="C48" s="29">
        <f>Mission!F12+(Mission!G12-Mission!F12)*0/2</f>
        <v>300</v>
      </c>
      <c r="D48" s="29">
        <f>Mission!H12</f>
        <v>0</v>
      </c>
      <c r="E48" s="29">
        <f>Mission!E12</f>
        <v>1.2</v>
      </c>
      <c r="F48" s="29">
        <v>1</v>
      </c>
      <c r="G48" s="29">
        <f t="shared" si="33"/>
        <v>83.333333333333329</v>
      </c>
      <c r="H48" s="29">
        <f>IF(Inputs!E27="OK",0.5*Inputs!C27*Inputs!C58*G48^2,NA())</f>
        <v>27.222222222222225</v>
      </c>
      <c r="I48" s="29">
        <f>IF(F48=0,0,H48+Inputs!C55*D48)</f>
        <v>27.222222222222225</v>
      </c>
      <c r="J48" s="29">
        <f>IF(F48=0,0,IF(AND(ISNUMBER(E48),E48&gt;=1,E48&lt;=10),Inputs!C56*E48,NA()))</f>
        <v>13.724406674999999</v>
      </c>
      <c r="K48" s="29">
        <f t="shared" si="34"/>
        <v>30.486205426337239</v>
      </c>
      <c r="L48" s="29">
        <f t="shared" si="35"/>
        <v>63.244500146296843</v>
      </c>
      <c r="M48" s="29">
        <f t="shared" si="36"/>
        <v>74.411311174815154</v>
      </c>
      <c r="N48" s="29">
        <f t="shared" si="37"/>
        <v>37.515346375707004</v>
      </c>
      <c r="O48" s="29">
        <f>IF(F48=0,0,IF(Inputs!E27="OK",SQRT(K48/(2*Inputs!C27*Inputs!C57)),NA()))</f>
        <v>15.670757365894026</v>
      </c>
      <c r="P48" s="29">
        <f t="shared" si="38"/>
        <v>2.8589577609251964</v>
      </c>
      <c r="Q48" s="29">
        <f t="shared" si="39"/>
        <v>87.158773604786688</v>
      </c>
      <c r="R48" s="29">
        <f t="shared" si="40"/>
        <v>2268.5185185185187</v>
      </c>
      <c r="S48" s="29">
        <f>IF(F48=0,0,IF(Inputs!E30="OK",SUM(Q48:R48)/Inputs!C30,NA()))</f>
        <v>3624.1189109589313</v>
      </c>
      <c r="T48" s="29">
        <f>IF(AND(Inputs!E31="OK",Inputs!E32="OK"),S48/Inputs!C31+Inputs!C32,NA())</f>
        <v>4044.7987899543682</v>
      </c>
      <c r="U48" s="29">
        <f>T48/Inputs!C62</f>
        <v>192.60946618830326</v>
      </c>
      <c r="V48" s="29">
        <f>IF(Inputs!E25="OK",(T48-Inputs!C32)/Inputs!C25,NA())</f>
        <v>1006.6996974885921</v>
      </c>
      <c r="W48" s="30">
        <f t="shared" si="41"/>
        <v>-2.1283711988866999E-7</v>
      </c>
      <c r="X48" s="31">
        <f t="shared" si="42"/>
        <v>7.8353786829470131</v>
      </c>
      <c r="Y48" s="31">
        <f t="shared" si="43"/>
        <v>3.9176893414735066</v>
      </c>
      <c r="Z48" s="31">
        <f t="shared" si="44"/>
        <v>1.9588446707367533</v>
      </c>
      <c r="AA48" s="31">
        <f t="shared" si="45"/>
        <v>2.9382670061051299</v>
      </c>
      <c r="AB48" s="31">
        <f t="shared" si="46"/>
        <v>2.4485558384209414</v>
      </c>
      <c r="AC48" s="31">
        <f t="shared" si="47"/>
        <v>2.6934114222630354</v>
      </c>
      <c r="AD48" s="31">
        <f t="shared" si="48"/>
        <v>2.8158392141840825</v>
      </c>
      <c r="AE48" s="31">
        <f t="shared" si="49"/>
        <v>2.877053110144606</v>
      </c>
      <c r="AF48" s="31">
        <f t="shared" si="50"/>
        <v>2.846446162164344</v>
      </c>
      <c r="AG48" s="31">
        <f t="shared" si="51"/>
        <v>2.861749636154475</v>
      </c>
      <c r="AH48" s="31">
        <f t="shared" si="52"/>
        <v>2.8540978991594095</v>
      </c>
      <c r="AI48" s="31">
        <f t="shared" si="53"/>
        <v>2.857923767656942</v>
      </c>
      <c r="AJ48" s="31">
        <f t="shared" si="54"/>
        <v>2.8598367019057083</v>
      </c>
      <c r="AK48" s="31">
        <f t="shared" si="55"/>
        <v>2.8588802347813251</v>
      </c>
      <c r="AL48" s="31">
        <f t="shared" si="56"/>
        <v>2.8593584683435167</v>
      </c>
      <c r="AM48" s="31">
        <f t="shared" si="57"/>
        <v>2.8591193515624207</v>
      </c>
      <c r="AN48" s="31">
        <f t="shared" si="58"/>
        <v>2.8589997931718729</v>
      </c>
      <c r="AO48" s="31">
        <f t="shared" si="59"/>
        <v>2.858940013976599</v>
      </c>
      <c r="AP48" s="31">
        <f t="shared" si="60"/>
        <v>2.858969903574236</v>
      </c>
      <c r="AQ48" s="31">
        <f t="shared" si="61"/>
        <v>2.8589549587754175</v>
      </c>
      <c r="AR48" s="31">
        <f t="shared" si="62"/>
        <v>2.858962431174827</v>
      </c>
      <c r="AS48" s="31">
        <f t="shared" si="63"/>
        <v>2.8589586949751222</v>
      </c>
      <c r="AT48" s="31">
        <f t="shared" si="64"/>
        <v>2.8589568268752701</v>
      </c>
      <c r="AU48" s="31">
        <f t="shared" si="65"/>
        <v>2.8589577609251964</v>
      </c>
    </row>
    <row r="49" spans="2:47" ht="37.950000000000003" customHeight="1" x14ac:dyDescent="0.3">
      <c r="B49" s="21" t="s">
        <v>300</v>
      </c>
      <c r="C49" s="29">
        <f>Mission!F12+(Mission!G12-Mission!F12)*1/2</f>
        <v>180</v>
      </c>
      <c r="D49" s="29">
        <f>Mission!H12</f>
        <v>0</v>
      </c>
      <c r="E49" s="29">
        <f>Mission!E12</f>
        <v>1.2</v>
      </c>
      <c r="F49" s="29">
        <v>1</v>
      </c>
      <c r="G49" s="29">
        <f t="shared" si="33"/>
        <v>50</v>
      </c>
      <c r="H49" s="29">
        <f>IF(Inputs!E27="OK",0.5*Inputs!C27*Inputs!C58*G49^2,NA())</f>
        <v>9.8000000000000025</v>
      </c>
      <c r="I49" s="29">
        <f>IF(F49=0,0,H49+Inputs!C55*D49)</f>
        <v>9.8000000000000025</v>
      </c>
      <c r="J49" s="29">
        <f>IF(F49=0,0,IF(AND(ISNUMBER(E49),E49&gt;=1,E49&lt;=10),Inputs!C56*E49,NA()))</f>
        <v>13.724406674999999</v>
      </c>
      <c r="K49" s="29">
        <f t="shared" si="34"/>
        <v>16.864143576855145</v>
      </c>
      <c r="L49" s="29">
        <f t="shared" si="35"/>
        <v>35.528975703203834</v>
      </c>
      <c r="M49" s="29">
        <f t="shared" si="36"/>
        <v>29.055729854701354</v>
      </c>
      <c r="N49" s="29">
        <f t="shared" si="37"/>
        <v>40.691087016822443</v>
      </c>
      <c r="O49" s="29">
        <f>IF(F49=0,0,IF(Inputs!E27="OK",SQRT(K49/(2*Inputs!C27*Inputs!C57)),NA()))</f>
        <v>11.65521920811347</v>
      </c>
      <c r="P49" s="29">
        <f t="shared" si="38"/>
        <v>2.6339059925592312</v>
      </c>
      <c r="Q49" s="29">
        <f t="shared" si="39"/>
        <v>44.418568826458035</v>
      </c>
      <c r="R49" s="29">
        <f t="shared" si="40"/>
        <v>490.00000000000011</v>
      </c>
      <c r="S49" s="29">
        <f>IF(F49=0,0,IF(Inputs!E30="OK",SUM(Q49:R49)/Inputs!C30,NA()))</f>
        <v>822.18241357916634</v>
      </c>
      <c r="T49" s="29">
        <f>IF(AND(Inputs!E31="OK",Inputs!E32="OK"),S49/Inputs!C31+Inputs!C32,NA())</f>
        <v>931.5360150879626</v>
      </c>
      <c r="U49" s="29">
        <f>T49/Inputs!C62</f>
        <v>44.358857861331551</v>
      </c>
      <c r="V49" s="29">
        <f>IF(Inputs!E25="OK",(T49-Inputs!C32)/Inputs!C25,NA())</f>
        <v>228.38400377199065</v>
      </c>
      <c r="W49" s="30">
        <f t="shared" si="41"/>
        <v>-1.564127694165205E-9</v>
      </c>
      <c r="X49" s="31">
        <f t="shared" si="42"/>
        <v>5.8276096040567351</v>
      </c>
      <c r="Y49" s="31">
        <f t="shared" si="43"/>
        <v>2.9138048020283676</v>
      </c>
      <c r="Z49" s="31">
        <f t="shared" si="44"/>
        <v>1.4569024010141838</v>
      </c>
      <c r="AA49" s="31">
        <f t="shared" si="45"/>
        <v>2.1853536015212756</v>
      </c>
      <c r="AB49" s="31">
        <f t="shared" si="46"/>
        <v>2.5495792017748213</v>
      </c>
      <c r="AC49" s="31">
        <f t="shared" si="47"/>
        <v>2.7316920019015942</v>
      </c>
      <c r="AD49" s="31">
        <f t="shared" si="48"/>
        <v>2.6406356018382078</v>
      </c>
      <c r="AE49" s="31">
        <f t="shared" si="49"/>
        <v>2.5951074018065143</v>
      </c>
      <c r="AF49" s="31">
        <f t="shared" si="50"/>
        <v>2.6178715018223611</v>
      </c>
      <c r="AG49" s="31">
        <f t="shared" si="51"/>
        <v>2.6292535518302844</v>
      </c>
      <c r="AH49" s="31">
        <f t="shared" si="52"/>
        <v>2.6349445768342461</v>
      </c>
      <c r="AI49" s="31">
        <f t="shared" si="53"/>
        <v>2.6320990643322655</v>
      </c>
      <c r="AJ49" s="31">
        <f t="shared" si="54"/>
        <v>2.633521820583256</v>
      </c>
      <c r="AK49" s="31">
        <f t="shared" si="55"/>
        <v>2.6342331987087513</v>
      </c>
      <c r="AL49" s="31">
        <f t="shared" si="56"/>
        <v>2.6338775096460036</v>
      </c>
      <c r="AM49" s="31">
        <f t="shared" si="57"/>
        <v>2.6340553541773772</v>
      </c>
      <c r="AN49" s="31">
        <f t="shared" si="58"/>
        <v>2.6339664319116904</v>
      </c>
      <c r="AO49" s="31">
        <f t="shared" si="59"/>
        <v>2.633921970778847</v>
      </c>
      <c r="AP49" s="31">
        <f t="shared" si="60"/>
        <v>2.6338997402124251</v>
      </c>
      <c r="AQ49" s="31">
        <f t="shared" si="61"/>
        <v>2.6339108554956359</v>
      </c>
      <c r="AR49" s="31">
        <f t="shared" si="62"/>
        <v>2.6339052978540303</v>
      </c>
      <c r="AS49" s="31">
        <f t="shared" si="63"/>
        <v>2.6339080766748331</v>
      </c>
      <c r="AT49" s="31">
        <f t="shared" si="64"/>
        <v>2.6339066872644317</v>
      </c>
      <c r="AU49" s="31">
        <f t="shared" si="65"/>
        <v>2.6339059925592312</v>
      </c>
    </row>
    <row r="50" spans="2:47" ht="37.950000000000003" customHeight="1" x14ac:dyDescent="0.3">
      <c r="B50" s="21" t="s">
        <v>301</v>
      </c>
      <c r="C50" s="29">
        <f>Mission!F12+(Mission!G12-Mission!F12)*2/2</f>
        <v>60</v>
      </c>
      <c r="D50" s="29">
        <f>Mission!H12</f>
        <v>0</v>
      </c>
      <c r="E50" s="29">
        <f>Mission!E12</f>
        <v>1.2</v>
      </c>
      <c r="F50" s="29">
        <v>1</v>
      </c>
      <c r="G50" s="29">
        <f t="shared" si="33"/>
        <v>16.666666666666668</v>
      </c>
      <c r="H50" s="29">
        <f>IF(Inputs!E27="OK",0.5*Inputs!C27*Inputs!C58*G50^2,NA())</f>
        <v>1.0888888888888892</v>
      </c>
      <c r="I50" s="29">
        <f>IF(F50=0,0,H50+Inputs!C55*D50)</f>
        <v>1.0888888888888892</v>
      </c>
      <c r="J50" s="29">
        <f>IF(F50=0,0,IF(AND(ISNUMBER(E50),E50&gt;=1,E50&lt;=10),Inputs!C56*E50,NA()))</f>
        <v>13.724406674999999</v>
      </c>
      <c r="K50" s="29">
        <f t="shared" si="34"/>
        <v>13.76753491345238</v>
      </c>
      <c r="L50" s="29">
        <f t="shared" si="35"/>
        <v>4.5363215879917558</v>
      </c>
      <c r="M50" s="29">
        <f t="shared" si="36"/>
        <v>1.3181842836959461</v>
      </c>
      <c r="N50" s="29">
        <f t="shared" si="37"/>
        <v>16.614456595748017</v>
      </c>
      <c r="O50" s="29">
        <f>IF(F50=0,0,IF(Inputs!E27="OK",SQRT(K50/(2*Inputs!C27*Inputs!C57)),NA()))</f>
        <v>10.530921944138381</v>
      </c>
      <c r="P50" s="29">
        <f t="shared" si="38"/>
        <v>6.0955928744630183</v>
      </c>
      <c r="Q50" s="29">
        <f t="shared" si="39"/>
        <v>83.921287717361153</v>
      </c>
      <c r="R50" s="29">
        <f t="shared" si="40"/>
        <v>18.148148148148156</v>
      </c>
      <c r="S50" s="29">
        <f>IF(F50=0,0,IF(Inputs!E30="OK",SUM(Q50:R50)/Inputs!C30,NA()))</f>
        <v>157.02990133155276</v>
      </c>
      <c r="T50" s="29">
        <f>IF(AND(Inputs!E31="OK",Inputs!E32="OK"),S50/Inputs!C31+Inputs!C32,NA())</f>
        <v>192.47766814616975</v>
      </c>
      <c r="U50" s="29">
        <f>T50/Inputs!C62</f>
        <v>9.1656032450557028</v>
      </c>
      <c r="V50" s="29">
        <f>IF(Inputs!E25="OK",(T50-Inputs!C32)/Inputs!C25,NA())</f>
        <v>43.619417036542437</v>
      </c>
      <c r="W50" s="30">
        <f t="shared" si="41"/>
        <v>-9.9982310217926398E-8</v>
      </c>
      <c r="X50" s="31">
        <f t="shared" si="42"/>
        <v>5.2654609720691905</v>
      </c>
      <c r="Y50" s="31">
        <f t="shared" si="43"/>
        <v>7.8981914581037858</v>
      </c>
      <c r="Z50" s="31">
        <f t="shared" si="44"/>
        <v>6.5818262150864886</v>
      </c>
      <c r="AA50" s="31">
        <f t="shared" si="45"/>
        <v>5.9236435935778395</v>
      </c>
      <c r="AB50" s="31">
        <f t="shared" si="46"/>
        <v>6.2527349043321641</v>
      </c>
      <c r="AC50" s="31">
        <f t="shared" si="47"/>
        <v>6.0881892489550022</v>
      </c>
      <c r="AD50" s="31">
        <f t="shared" si="48"/>
        <v>6.1704620766435836</v>
      </c>
      <c r="AE50" s="31">
        <f t="shared" si="49"/>
        <v>6.1293256627992934</v>
      </c>
      <c r="AF50" s="31">
        <f t="shared" si="50"/>
        <v>6.1087574558771482</v>
      </c>
      <c r="AG50" s="31">
        <f t="shared" si="51"/>
        <v>6.0984733524160752</v>
      </c>
      <c r="AH50" s="31">
        <f t="shared" si="52"/>
        <v>6.0933313006855387</v>
      </c>
      <c r="AI50" s="31">
        <f t="shared" si="53"/>
        <v>6.0959023265508065</v>
      </c>
      <c r="AJ50" s="31">
        <f t="shared" si="54"/>
        <v>6.0946168136181722</v>
      </c>
      <c r="AK50" s="31">
        <f t="shared" si="55"/>
        <v>6.0952595700844894</v>
      </c>
      <c r="AL50" s="31">
        <f t="shared" si="56"/>
        <v>6.0955809483176475</v>
      </c>
      <c r="AM50" s="31">
        <f t="shared" si="57"/>
        <v>6.0957416374342266</v>
      </c>
      <c r="AN50" s="31">
        <f t="shared" si="58"/>
        <v>6.0956612928759366</v>
      </c>
      <c r="AO50" s="31">
        <f t="shared" si="59"/>
        <v>6.0956211205967916</v>
      </c>
      <c r="AP50" s="31">
        <f t="shared" si="60"/>
        <v>6.0956010344572196</v>
      </c>
      <c r="AQ50" s="31">
        <f t="shared" si="61"/>
        <v>6.0955909913874331</v>
      </c>
      <c r="AR50" s="31">
        <f t="shared" si="62"/>
        <v>6.0955960129223259</v>
      </c>
      <c r="AS50" s="31">
        <f t="shared" si="63"/>
        <v>6.0955935021548795</v>
      </c>
      <c r="AT50" s="31">
        <f t="shared" si="64"/>
        <v>6.0955922467711563</v>
      </c>
      <c r="AU50" s="31">
        <f t="shared" si="65"/>
        <v>6.0955928744630183</v>
      </c>
    </row>
    <row r="51" spans="2:47" ht="37.950000000000003" customHeight="1" x14ac:dyDescent="0.3">
      <c r="B51" s="21" t="s">
        <v>302</v>
      </c>
      <c r="C51" s="29">
        <f>Mission!F13+(Mission!G13-Mission!F13)*0/2</f>
        <v>60</v>
      </c>
      <c r="D51" s="29">
        <f>Mission!H13</f>
        <v>0</v>
      </c>
      <c r="E51" s="29">
        <f>Mission!E13</f>
        <v>1</v>
      </c>
      <c r="F51" s="29">
        <v>1</v>
      </c>
      <c r="G51" s="29">
        <f t="shared" si="33"/>
        <v>16.666666666666668</v>
      </c>
      <c r="H51" s="29">
        <f>IF(Inputs!E27="OK",0.5*Inputs!C27*Inputs!C58*G51^2,NA())</f>
        <v>1.0888888888888892</v>
      </c>
      <c r="I51" s="29">
        <f>IF(F51=0,0,H51+Inputs!C55*D51)</f>
        <v>1.0888888888888892</v>
      </c>
      <c r="J51" s="29">
        <f>IF(F51=0,0,IF(AND(ISNUMBER(E51),E51&gt;=1,E51&lt;=10),Inputs!C56*E51,NA()))</f>
        <v>11.4370055625</v>
      </c>
      <c r="K51" s="29">
        <f t="shared" si="34"/>
        <v>11.488723830304288</v>
      </c>
      <c r="L51" s="29">
        <f t="shared" si="35"/>
        <v>5.4385957076442972</v>
      </c>
      <c r="M51" s="29">
        <f t="shared" si="36"/>
        <v>1.5796487422108647</v>
      </c>
      <c r="N51" s="29">
        <f t="shared" si="37"/>
        <v>16.591639088077148</v>
      </c>
      <c r="O51" s="29">
        <f>IF(F51=0,0,IF(Inputs!E27="OK",SQRT(K51/(2*Inputs!C27*Inputs!C57)),NA()))</f>
        <v>9.6199805826237359</v>
      </c>
      <c r="P51" s="29">
        <f t="shared" si="38"/>
        <v>5.1669238452971085</v>
      </c>
      <c r="Q51" s="29">
        <f t="shared" si="39"/>
        <v>59.361361110832355</v>
      </c>
      <c r="R51" s="29">
        <f t="shared" si="40"/>
        <v>18.148148148148156</v>
      </c>
      <c r="S51" s="29">
        <f>IF(F51=0,0,IF(Inputs!E30="OK",SUM(Q51:R51)/Inputs!C30,NA()))</f>
        <v>119.24539885997002</v>
      </c>
      <c r="T51" s="29">
        <f>IF(AND(Inputs!E31="OK",Inputs!E32="OK"),S51/Inputs!C31+Inputs!C32,NA())</f>
        <v>150.49488762218891</v>
      </c>
      <c r="U51" s="29">
        <f>T51/Inputs!C62</f>
        <v>7.1664232201042335</v>
      </c>
      <c r="V51" s="29">
        <f>IF(Inputs!E25="OK",(T51-Inputs!C32)/Inputs!C25,NA())</f>
        <v>33.123721905547228</v>
      </c>
      <c r="W51" s="30">
        <f t="shared" si="41"/>
        <v>-2.4460666862423181E-8</v>
      </c>
      <c r="X51" s="31">
        <f t="shared" si="42"/>
        <v>4.8099902913118679</v>
      </c>
      <c r="Y51" s="31">
        <f t="shared" si="43"/>
        <v>7.2149854369678019</v>
      </c>
      <c r="Z51" s="31">
        <f t="shared" si="44"/>
        <v>6.0124878641398354</v>
      </c>
      <c r="AA51" s="31">
        <f t="shared" si="45"/>
        <v>5.4112390777258517</v>
      </c>
      <c r="AB51" s="31">
        <f t="shared" si="46"/>
        <v>5.1106146845188603</v>
      </c>
      <c r="AC51" s="31">
        <f t="shared" si="47"/>
        <v>5.260926881122356</v>
      </c>
      <c r="AD51" s="31">
        <f t="shared" si="48"/>
        <v>5.1857707828206081</v>
      </c>
      <c r="AE51" s="31">
        <f t="shared" si="49"/>
        <v>5.1481927336697337</v>
      </c>
      <c r="AF51" s="31">
        <f t="shared" si="50"/>
        <v>5.1669817582451705</v>
      </c>
      <c r="AG51" s="31">
        <f t="shared" si="51"/>
        <v>5.1575872459574521</v>
      </c>
      <c r="AH51" s="31">
        <f t="shared" si="52"/>
        <v>5.1622845021013113</v>
      </c>
      <c r="AI51" s="31">
        <f t="shared" si="53"/>
        <v>5.1646331301732413</v>
      </c>
      <c r="AJ51" s="31">
        <f t="shared" si="54"/>
        <v>5.1658074442092063</v>
      </c>
      <c r="AK51" s="31">
        <f t="shared" si="55"/>
        <v>5.1663946012271884</v>
      </c>
      <c r="AL51" s="31">
        <f t="shared" si="56"/>
        <v>5.1666881797361794</v>
      </c>
      <c r="AM51" s="31">
        <f t="shared" si="57"/>
        <v>5.166834968990675</v>
      </c>
      <c r="AN51" s="31">
        <f t="shared" si="58"/>
        <v>5.1669083636179227</v>
      </c>
      <c r="AO51" s="31">
        <f t="shared" si="59"/>
        <v>5.166945060931547</v>
      </c>
      <c r="AP51" s="31">
        <f t="shared" si="60"/>
        <v>5.1669267122747353</v>
      </c>
      <c r="AQ51" s="31">
        <f t="shared" si="61"/>
        <v>5.166917537946329</v>
      </c>
      <c r="AR51" s="31">
        <f t="shared" si="62"/>
        <v>5.1669221251105322</v>
      </c>
      <c r="AS51" s="31">
        <f t="shared" si="63"/>
        <v>5.1669244186926333</v>
      </c>
      <c r="AT51" s="31">
        <f t="shared" si="64"/>
        <v>5.1669232719015827</v>
      </c>
      <c r="AU51" s="31">
        <f t="shared" si="65"/>
        <v>5.1669238452971085</v>
      </c>
    </row>
    <row r="52" spans="2:47" ht="37.950000000000003" customHeight="1" x14ac:dyDescent="0.3">
      <c r="B52" s="21" t="s">
        <v>303</v>
      </c>
      <c r="C52" s="29">
        <f>Mission!F13+(Mission!G13-Mission!F13)*1/2</f>
        <v>60</v>
      </c>
      <c r="D52" s="29">
        <f>Mission!H13</f>
        <v>0</v>
      </c>
      <c r="E52" s="29">
        <f>Mission!E13</f>
        <v>1</v>
      </c>
      <c r="F52" s="29">
        <v>1</v>
      </c>
      <c r="G52" s="29">
        <f t="shared" si="33"/>
        <v>16.666666666666668</v>
      </c>
      <c r="H52" s="29">
        <f>IF(Inputs!E27="OK",0.5*Inputs!C27*Inputs!C58*G52^2,NA())</f>
        <v>1.0888888888888892</v>
      </c>
      <c r="I52" s="29">
        <f>IF(F52=0,0,H52+Inputs!C55*D52)</f>
        <v>1.0888888888888892</v>
      </c>
      <c r="J52" s="29">
        <f>IF(F52=0,0,IF(AND(ISNUMBER(E52),E52&gt;=1,E52&lt;=10),Inputs!C56*E52,NA()))</f>
        <v>11.4370055625</v>
      </c>
      <c r="K52" s="29">
        <f t="shared" si="34"/>
        <v>11.488723830304288</v>
      </c>
      <c r="L52" s="29">
        <f t="shared" si="35"/>
        <v>5.4385957076442972</v>
      </c>
      <c r="M52" s="29">
        <f t="shared" si="36"/>
        <v>1.5796487422108647</v>
      </c>
      <c r="N52" s="29">
        <f t="shared" si="37"/>
        <v>16.591639088077148</v>
      </c>
      <c r="O52" s="29">
        <f>IF(F52=0,0,IF(Inputs!E27="OK",SQRT(K52/(2*Inputs!C27*Inputs!C57)),NA()))</f>
        <v>9.6199805826237359</v>
      </c>
      <c r="P52" s="29">
        <f t="shared" si="38"/>
        <v>5.1669238452971085</v>
      </c>
      <c r="Q52" s="29">
        <f t="shared" si="39"/>
        <v>59.361361110832355</v>
      </c>
      <c r="R52" s="29">
        <f t="shared" si="40"/>
        <v>18.148148148148156</v>
      </c>
      <c r="S52" s="29">
        <f>IF(F52=0,0,IF(Inputs!E30="OK",SUM(Q52:R52)/Inputs!C30,NA()))</f>
        <v>119.24539885997002</v>
      </c>
      <c r="T52" s="29">
        <f>IF(AND(Inputs!E31="OK",Inputs!E32="OK"),S52/Inputs!C31+Inputs!C32,NA())</f>
        <v>150.49488762218891</v>
      </c>
      <c r="U52" s="29">
        <f>T52/Inputs!C62</f>
        <v>7.1664232201042335</v>
      </c>
      <c r="V52" s="29">
        <f>IF(Inputs!E25="OK",(T52-Inputs!C32)/Inputs!C25,NA())</f>
        <v>33.123721905547228</v>
      </c>
      <c r="W52" s="30">
        <f t="shared" si="41"/>
        <v>-2.4460666862423181E-8</v>
      </c>
      <c r="X52" s="31">
        <f t="shared" si="42"/>
        <v>4.8099902913118679</v>
      </c>
      <c r="Y52" s="31">
        <f t="shared" si="43"/>
        <v>7.2149854369678019</v>
      </c>
      <c r="Z52" s="31">
        <f t="shared" si="44"/>
        <v>6.0124878641398354</v>
      </c>
      <c r="AA52" s="31">
        <f t="shared" si="45"/>
        <v>5.4112390777258517</v>
      </c>
      <c r="AB52" s="31">
        <f t="shared" si="46"/>
        <v>5.1106146845188603</v>
      </c>
      <c r="AC52" s="31">
        <f t="shared" si="47"/>
        <v>5.260926881122356</v>
      </c>
      <c r="AD52" s="31">
        <f t="shared" si="48"/>
        <v>5.1857707828206081</v>
      </c>
      <c r="AE52" s="31">
        <f t="shared" si="49"/>
        <v>5.1481927336697337</v>
      </c>
      <c r="AF52" s="31">
        <f t="shared" si="50"/>
        <v>5.1669817582451705</v>
      </c>
      <c r="AG52" s="31">
        <f t="shared" si="51"/>
        <v>5.1575872459574521</v>
      </c>
      <c r="AH52" s="31">
        <f t="shared" si="52"/>
        <v>5.1622845021013113</v>
      </c>
      <c r="AI52" s="31">
        <f t="shared" si="53"/>
        <v>5.1646331301732413</v>
      </c>
      <c r="AJ52" s="31">
        <f t="shared" si="54"/>
        <v>5.1658074442092063</v>
      </c>
      <c r="AK52" s="31">
        <f t="shared" si="55"/>
        <v>5.1663946012271884</v>
      </c>
      <c r="AL52" s="31">
        <f t="shared" si="56"/>
        <v>5.1666881797361794</v>
      </c>
      <c r="AM52" s="31">
        <f t="shared" si="57"/>
        <v>5.166834968990675</v>
      </c>
      <c r="AN52" s="31">
        <f t="shared" si="58"/>
        <v>5.1669083636179227</v>
      </c>
      <c r="AO52" s="31">
        <f t="shared" si="59"/>
        <v>5.166945060931547</v>
      </c>
      <c r="AP52" s="31">
        <f t="shared" si="60"/>
        <v>5.1669267122747353</v>
      </c>
      <c r="AQ52" s="31">
        <f t="shared" si="61"/>
        <v>5.166917537946329</v>
      </c>
      <c r="AR52" s="31">
        <f t="shared" si="62"/>
        <v>5.1669221251105322</v>
      </c>
      <c r="AS52" s="31">
        <f t="shared" si="63"/>
        <v>5.1669244186926333</v>
      </c>
      <c r="AT52" s="31">
        <f t="shared" si="64"/>
        <v>5.1669232719015827</v>
      </c>
      <c r="AU52" s="31">
        <f t="shared" si="65"/>
        <v>5.1669238452971085</v>
      </c>
    </row>
    <row r="53" spans="2:47" ht="37.950000000000003" customHeight="1" x14ac:dyDescent="0.3">
      <c r="B53" s="21" t="s">
        <v>304</v>
      </c>
      <c r="C53" s="29">
        <f>Mission!F13+(Mission!G13-Mission!F13)*2/2</f>
        <v>60</v>
      </c>
      <c r="D53" s="29">
        <f>Mission!H13</f>
        <v>0</v>
      </c>
      <c r="E53" s="29">
        <f>Mission!E13</f>
        <v>1</v>
      </c>
      <c r="F53" s="29">
        <v>1</v>
      </c>
      <c r="G53" s="29">
        <f t="shared" si="33"/>
        <v>16.666666666666668</v>
      </c>
      <c r="H53" s="29">
        <f>IF(Inputs!E27="OK",0.5*Inputs!C27*Inputs!C58*G53^2,NA())</f>
        <v>1.0888888888888892</v>
      </c>
      <c r="I53" s="29">
        <f>IF(F53=0,0,H53+Inputs!C55*D53)</f>
        <v>1.0888888888888892</v>
      </c>
      <c r="J53" s="29">
        <f>IF(F53=0,0,IF(AND(ISNUMBER(E53),E53&gt;=1,E53&lt;=10),Inputs!C56*E53,NA()))</f>
        <v>11.4370055625</v>
      </c>
      <c r="K53" s="29">
        <f t="shared" si="34"/>
        <v>11.488723830304288</v>
      </c>
      <c r="L53" s="29">
        <f t="shared" si="35"/>
        <v>5.4385957076442972</v>
      </c>
      <c r="M53" s="29">
        <f t="shared" si="36"/>
        <v>1.5796487422108647</v>
      </c>
      <c r="N53" s="29">
        <f t="shared" si="37"/>
        <v>16.591639088077148</v>
      </c>
      <c r="O53" s="29">
        <f>IF(F53=0,0,IF(Inputs!E27="OK",SQRT(K53/(2*Inputs!C27*Inputs!C57)),NA()))</f>
        <v>9.6199805826237359</v>
      </c>
      <c r="P53" s="29">
        <f t="shared" si="38"/>
        <v>5.1669238452971085</v>
      </c>
      <c r="Q53" s="29">
        <f t="shared" si="39"/>
        <v>59.361361110832355</v>
      </c>
      <c r="R53" s="29">
        <f t="shared" si="40"/>
        <v>18.148148148148156</v>
      </c>
      <c r="S53" s="29">
        <f>IF(F53=0,0,IF(Inputs!E30="OK",SUM(Q53:R53)/Inputs!C30,NA()))</f>
        <v>119.24539885997002</v>
      </c>
      <c r="T53" s="29">
        <f>IF(AND(Inputs!E31="OK",Inputs!E32="OK"),S53/Inputs!C31+Inputs!C32,NA())</f>
        <v>150.49488762218891</v>
      </c>
      <c r="U53" s="29">
        <f>T53/Inputs!C62</f>
        <v>7.1664232201042335</v>
      </c>
      <c r="V53" s="29">
        <f>IF(Inputs!E25="OK",(T53-Inputs!C32)/Inputs!C25,NA())</f>
        <v>33.123721905547228</v>
      </c>
      <c r="W53" s="30">
        <f t="shared" si="41"/>
        <v>-2.4460666862423181E-8</v>
      </c>
      <c r="X53" s="31">
        <f t="shared" si="42"/>
        <v>4.8099902913118679</v>
      </c>
      <c r="Y53" s="31">
        <f t="shared" si="43"/>
        <v>7.2149854369678019</v>
      </c>
      <c r="Z53" s="31">
        <f t="shared" si="44"/>
        <v>6.0124878641398354</v>
      </c>
      <c r="AA53" s="31">
        <f t="shared" si="45"/>
        <v>5.4112390777258517</v>
      </c>
      <c r="AB53" s="31">
        <f t="shared" si="46"/>
        <v>5.1106146845188603</v>
      </c>
      <c r="AC53" s="31">
        <f t="shared" si="47"/>
        <v>5.260926881122356</v>
      </c>
      <c r="AD53" s="31">
        <f t="shared" si="48"/>
        <v>5.1857707828206081</v>
      </c>
      <c r="AE53" s="31">
        <f t="shared" si="49"/>
        <v>5.1481927336697337</v>
      </c>
      <c r="AF53" s="31">
        <f t="shared" si="50"/>
        <v>5.1669817582451705</v>
      </c>
      <c r="AG53" s="31">
        <f t="shared" si="51"/>
        <v>5.1575872459574521</v>
      </c>
      <c r="AH53" s="31">
        <f t="shared" si="52"/>
        <v>5.1622845021013113</v>
      </c>
      <c r="AI53" s="31">
        <f t="shared" si="53"/>
        <v>5.1646331301732413</v>
      </c>
      <c r="AJ53" s="31">
        <f t="shared" si="54"/>
        <v>5.1658074442092063</v>
      </c>
      <c r="AK53" s="31">
        <f t="shared" si="55"/>
        <v>5.1663946012271884</v>
      </c>
      <c r="AL53" s="31">
        <f t="shared" si="56"/>
        <v>5.1666881797361794</v>
      </c>
      <c r="AM53" s="31">
        <f t="shared" si="57"/>
        <v>5.166834968990675</v>
      </c>
      <c r="AN53" s="31">
        <f t="shared" si="58"/>
        <v>5.1669083636179227</v>
      </c>
      <c r="AO53" s="31">
        <f t="shared" si="59"/>
        <v>5.166945060931547</v>
      </c>
      <c r="AP53" s="31">
        <f t="shared" si="60"/>
        <v>5.1669267122747353</v>
      </c>
      <c r="AQ53" s="31">
        <f t="shared" si="61"/>
        <v>5.166917537946329</v>
      </c>
      <c r="AR53" s="31">
        <f t="shared" si="62"/>
        <v>5.1669221251105322</v>
      </c>
      <c r="AS53" s="31">
        <f t="shared" si="63"/>
        <v>5.1669244186926333</v>
      </c>
      <c r="AT53" s="31">
        <f t="shared" si="64"/>
        <v>5.1669232719015827</v>
      </c>
      <c r="AU53" s="31">
        <f t="shared" si="65"/>
        <v>5.1669238452971085</v>
      </c>
    </row>
    <row r="54" spans="2:47" ht="37.950000000000003" customHeight="1" x14ac:dyDescent="0.3">
      <c r="B54" s="21" t="s">
        <v>305</v>
      </c>
      <c r="C54" s="29">
        <f>Mission!F14+(Mission!G14-Mission!F14)*0/2</f>
        <v>60</v>
      </c>
      <c r="D54" s="29">
        <f>Mission!H14</f>
        <v>0</v>
      </c>
      <c r="E54" s="29">
        <f>Mission!E14</f>
        <v>1.1000000000000001</v>
      </c>
      <c r="F54" s="29">
        <v>1</v>
      </c>
      <c r="G54" s="29">
        <f t="shared" si="33"/>
        <v>16.666666666666668</v>
      </c>
      <c r="H54" s="29">
        <f>IF(Inputs!E27="OK",0.5*Inputs!C27*Inputs!C58*G54^2,NA())</f>
        <v>1.0888888888888892</v>
      </c>
      <c r="I54" s="29">
        <f>IF(F54=0,0,H54+Inputs!C55*D54)</f>
        <v>1.0888888888888892</v>
      </c>
      <c r="J54" s="29">
        <f>IF(F54=0,0,IF(AND(ISNUMBER(E54),E54&gt;=1,E54&lt;=10),Inputs!C56*E54,NA()))</f>
        <v>12.580706118750001</v>
      </c>
      <c r="K54" s="29">
        <f t="shared" si="34"/>
        <v>12.627741106733991</v>
      </c>
      <c r="L54" s="29">
        <f t="shared" si="35"/>
        <v>4.9467528087048249</v>
      </c>
      <c r="M54" s="29">
        <f t="shared" si="36"/>
        <v>1.4371650475531448</v>
      </c>
      <c r="N54" s="29">
        <f t="shared" si="37"/>
        <v>16.604587751698908</v>
      </c>
      <c r="O54" s="29">
        <f>IF(F54=0,0,IF(Inputs!E27="OK",SQRT(K54/(2*Inputs!C27*Inputs!C57)),NA()))</f>
        <v>10.08558595949876</v>
      </c>
      <c r="P54" s="29">
        <f t="shared" si="38"/>
        <v>5.6359352633842885</v>
      </c>
      <c r="Q54" s="29">
        <f t="shared" si="39"/>
        <v>71.169131400329448</v>
      </c>
      <c r="R54" s="29">
        <f t="shared" si="40"/>
        <v>18.148148148148156</v>
      </c>
      <c r="S54" s="29">
        <f>IF(F54=0,0,IF(Inputs!E30="OK",SUM(Q54:R54)/Inputs!C30,NA()))</f>
        <v>137.41119930535015</v>
      </c>
      <c r="T54" s="29">
        <f>IF(AND(Inputs!E31="OK",Inputs!E32="OK"),S54/Inputs!C31+Inputs!C32,NA())</f>
        <v>170.67911033927794</v>
      </c>
      <c r="U54" s="29">
        <f>T54/Inputs!C62</f>
        <v>8.1275766828227596</v>
      </c>
      <c r="V54" s="29">
        <f>IF(Inputs!E25="OK",(T54-Inputs!C32)/Inputs!C25,NA())</f>
        <v>38.169777584819485</v>
      </c>
      <c r="W54" s="30">
        <f t="shared" si="41"/>
        <v>-1.5863319641420686E-8</v>
      </c>
      <c r="X54" s="31">
        <f t="shared" si="42"/>
        <v>5.0427929797493798</v>
      </c>
      <c r="Y54" s="31">
        <f t="shared" si="43"/>
        <v>7.5641894696240701</v>
      </c>
      <c r="Z54" s="31">
        <f t="shared" si="44"/>
        <v>6.3034912246867254</v>
      </c>
      <c r="AA54" s="31">
        <f t="shared" si="45"/>
        <v>5.673142102218053</v>
      </c>
      <c r="AB54" s="31">
        <f t="shared" si="46"/>
        <v>5.3579675409837169</v>
      </c>
      <c r="AC54" s="31">
        <f t="shared" si="47"/>
        <v>5.5155548216008849</v>
      </c>
      <c r="AD54" s="31">
        <f t="shared" si="48"/>
        <v>5.594348461909469</v>
      </c>
      <c r="AE54" s="31">
        <f t="shared" si="49"/>
        <v>5.633745282063761</v>
      </c>
      <c r="AF54" s="31">
        <f t="shared" si="50"/>
        <v>5.6534436921409075</v>
      </c>
      <c r="AG54" s="31">
        <f t="shared" si="51"/>
        <v>5.6435944871023347</v>
      </c>
      <c r="AH54" s="31">
        <f t="shared" si="52"/>
        <v>5.6386698845830479</v>
      </c>
      <c r="AI54" s="31">
        <f t="shared" si="53"/>
        <v>5.6362075833234044</v>
      </c>
      <c r="AJ54" s="31">
        <f t="shared" si="54"/>
        <v>5.6349764326935832</v>
      </c>
      <c r="AK54" s="31">
        <f t="shared" si="55"/>
        <v>5.6355920080084942</v>
      </c>
      <c r="AL54" s="31">
        <f t="shared" si="56"/>
        <v>5.6358997956659493</v>
      </c>
      <c r="AM54" s="31">
        <f t="shared" si="57"/>
        <v>5.6360536894946769</v>
      </c>
      <c r="AN54" s="31">
        <f t="shared" si="58"/>
        <v>5.6359767425803131</v>
      </c>
      <c r="AO54" s="31">
        <f t="shared" si="59"/>
        <v>5.6359382691231312</v>
      </c>
      <c r="AP54" s="31">
        <f t="shared" si="60"/>
        <v>5.6359190323945398</v>
      </c>
      <c r="AQ54" s="31">
        <f t="shared" si="61"/>
        <v>5.6359286507588351</v>
      </c>
      <c r="AR54" s="31">
        <f t="shared" si="62"/>
        <v>5.6359334599409827</v>
      </c>
      <c r="AS54" s="31">
        <f t="shared" si="63"/>
        <v>5.6359358645320565</v>
      </c>
      <c r="AT54" s="31">
        <f t="shared" si="64"/>
        <v>5.6359346622365196</v>
      </c>
      <c r="AU54" s="31">
        <f t="shared" si="65"/>
        <v>5.6359352633842885</v>
      </c>
    </row>
    <row r="55" spans="2:47" ht="37.950000000000003" customHeight="1" x14ac:dyDescent="0.3">
      <c r="B55" s="21" t="s">
        <v>306</v>
      </c>
      <c r="C55" s="29">
        <f>Mission!F14+(Mission!G14-Mission!F14)*1/2</f>
        <v>30</v>
      </c>
      <c r="D55" s="29">
        <f>Mission!H14</f>
        <v>0</v>
      </c>
      <c r="E55" s="29">
        <f>Mission!E14</f>
        <v>1.1000000000000001</v>
      </c>
      <c r="F55" s="29">
        <v>1</v>
      </c>
      <c r="G55" s="29">
        <f t="shared" si="33"/>
        <v>8.3333333333333339</v>
      </c>
      <c r="H55" s="29">
        <f>IF(Inputs!E27="OK",0.5*Inputs!C27*Inputs!C58*G55^2,NA())</f>
        <v>0.27222222222222231</v>
      </c>
      <c r="I55" s="29">
        <f>IF(F55=0,0,H55+Inputs!C55*D55)</f>
        <v>0.27222222222222231</v>
      </c>
      <c r="J55" s="29">
        <f>IF(F55=0,0,IF(AND(ISNUMBER(E55),E55&gt;=1,E55&lt;=10),Inputs!C56*E55,NA()))</f>
        <v>12.580706118750001</v>
      </c>
      <c r="K55" s="29">
        <f t="shared" si="34"/>
        <v>12.583650956086844</v>
      </c>
      <c r="L55" s="29">
        <f t="shared" si="35"/>
        <v>1.2395767556168449</v>
      </c>
      <c r="M55" s="29">
        <f t="shared" si="36"/>
        <v>0.18027506694479739</v>
      </c>
      <c r="N55" s="29">
        <f t="shared" si="37"/>
        <v>8.3313831591568572</v>
      </c>
      <c r="O55" s="29">
        <f>IF(F55=0,0,IF(Inputs!E27="OK",SQRT(K55/(2*Inputs!C27*Inputs!C57)),NA()))</f>
        <v>10.067963495242983</v>
      </c>
      <c r="P55" s="29">
        <f t="shared" si="38"/>
        <v>8.4500751336932858</v>
      </c>
      <c r="Q55" s="29">
        <f t="shared" si="39"/>
        <v>106.33279603510518</v>
      </c>
      <c r="R55" s="29">
        <f t="shared" si="40"/>
        <v>2.2685185185185195</v>
      </c>
      <c r="S55" s="29">
        <f>IF(F55=0,0,IF(Inputs!E30="OK",SUM(Q55:R55)/Inputs!C30,NA()))</f>
        <v>167.07894546711336</v>
      </c>
      <c r="T55" s="29">
        <f>IF(AND(Inputs!E31="OK",Inputs!E32="OK"),S55/Inputs!C31+Inputs!C32,NA())</f>
        <v>203.64327274123707</v>
      </c>
      <c r="U55" s="29">
        <f>T55/Inputs!C62</f>
        <v>9.6972987019636694</v>
      </c>
      <c r="V55" s="29">
        <f>IF(Inputs!E25="OK",(T55-Inputs!C32)/Inputs!C25,NA())</f>
        <v>46.410818185309267</v>
      </c>
      <c r="W55" s="30">
        <f t="shared" si="41"/>
        <v>-1.8998203126855712E-8</v>
      </c>
      <c r="X55" s="31">
        <f t="shared" si="42"/>
        <v>5.0339817476214916</v>
      </c>
      <c r="Y55" s="31">
        <f t="shared" si="43"/>
        <v>7.550972621432237</v>
      </c>
      <c r="Z55" s="31">
        <f t="shared" si="44"/>
        <v>8.8094680583376093</v>
      </c>
      <c r="AA55" s="31">
        <f t="shared" si="45"/>
        <v>8.1802203398849223</v>
      </c>
      <c r="AB55" s="31">
        <f t="shared" si="46"/>
        <v>8.4948441991112649</v>
      </c>
      <c r="AC55" s="31">
        <f t="shared" si="47"/>
        <v>8.3375322694980927</v>
      </c>
      <c r="AD55" s="31">
        <f t="shared" si="48"/>
        <v>8.4161882343046788</v>
      </c>
      <c r="AE55" s="31">
        <f t="shared" si="49"/>
        <v>8.4555162167079718</v>
      </c>
      <c r="AF55" s="31">
        <f t="shared" si="50"/>
        <v>8.4358522255063253</v>
      </c>
      <c r="AG55" s="31">
        <f t="shared" si="51"/>
        <v>8.4456842211071486</v>
      </c>
      <c r="AH55" s="31">
        <f t="shared" si="52"/>
        <v>8.4506002189075602</v>
      </c>
      <c r="AI55" s="31">
        <f t="shared" si="53"/>
        <v>8.4481422200073553</v>
      </c>
      <c r="AJ55" s="31">
        <f t="shared" si="54"/>
        <v>8.4493712194574577</v>
      </c>
      <c r="AK55" s="31">
        <f t="shared" si="55"/>
        <v>8.449985719182509</v>
      </c>
      <c r="AL55" s="31">
        <f t="shared" si="56"/>
        <v>8.4502929690450355</v>
      </c>
      <c r="AM55" s="31">
        <f t="shared" si="57"/>
        <v>8.4501393441137722</v>
      </c>
      <c r="AN55" s="31">
        <f t="shared" si="58"/>
        <v>8.4500625316481415</v>
      </c>
      <c r="AO55" s="31">
        <f t="shared" si="59"/>
        <v>8.4501009378809577</v>
      </c>
      <c r="AP55" s="31">
        <f t="shared" si="60"/>
        <v>8.4500817347645505</v>
      </c>
      <c r="AQ55" s="31">
        <f t="shared" si="61"/>
        <v>8.450072133206346</v>
      </c>
      <c r="AR55" s="31">
        <f t="shared" si="62"/>
        <v>8.4500769339854482</v>
      </c>
      <c r="AS55" s="31">
        <f t="shared" si="63"/>
        <v>8.4500745335958971</v>
      </c>
      <c r="AT55" s="31">
        <f t="shared" si="64"/>
        <v>8.4500757337906727</v>
      </c>
      <c r="AU55" s="31">
        <f t="shared" si="65"/>
        <v>8.4500751336932858</v>
      </c>
    </row>
    <row r="56" spans="2:47" ht="37.950000000000003" customHeight="1" x14ac:dyDescent="0.3">
      <c r="B56" s="21" t="s">
        <v>307</v>
      </c>
      <c r="C56" s="29">
        <f>Mission!F14+(Mission!G14-Mission!F14)*2/2</f>
        <v>0</v>
      </c>
      <c r="D56" s="29">
        <f>Mission!H14</f>
        <v>0</v>
      </c>
      <c r="E56" s="29">
        <f>Mission!E14</f>
        <v>1.1000000000000001</v>
      </c>
      <c r="F56" s="29">
        <v>1</v>
      </c>
      <c r="G56" s="29">
        <f t="shared" si="33"/>
        <v>0</v>
      </c>
      <c r="H56" s="29">
        <f>IF(Inputs!E27="OK",0.5*Inputs!C27*Inputs!C58*G56^2,NA())</f>
        <v>0</v>
      </c>
      <c r="I56" s="29">
        <f>IF(F56=0,0,H56+Inputs!C55*D56)</f>
        <v>0</v>
      </c>
      <c r="J56" s="29">
        <f>IF(F56=0,0,IF(AND(ISNUMBER(E56),E56&gt;=1,E56&lt;=10),Inputs!C56*E56,NA()))</f>
        <v>12.580706118750001</v>
      </c>
      <c r="K56" s="29">
        <f t="shared" si="34"/>
        <v>12.580706118750001</v>
      </c>
      <c r="L56" s="29">
        <f t="shared" si="35"/>
        <v>0</v>
      </c>
      <c r="M56" s="29">
        <f t="shared" si="36"/>
        <v>0</v>
      </c>
      <c r="N56" s="29">
        <f t="shared" si="37"/>
        <v>0</v>
      </c>
      <c r="O56" s="29">
        <f>IF(F56=0,0,IF(Inputs!E27="OK",SQRT(K56/(2*Inputs!C27*Inputs!C57)),NA()))</f>
        <v>10.066785369367343</v>
      </c>
      <c r="P56" s="29">
        <f t="shared" si="38"/>
        <v>10.066784769340176</v>
      </c>
      <c r="Q56" s="29">
        <f t="shared" si="39"/>
        <v>126.64726074377727</v>
      </c>
      <c r="R56" s="29">
        <f t="shared" si="40"/>
        <v>0</v>
      </c>
      <c r="S56" s="29">
        <f>IF(F56=0,0,IF(Inputs!E30="OK",SUM(Q56:R56)/Inputs!C30,NA()))</f>
        <v>194.84193960581118</v>
      </c>
      <c r="T56" s="29">
        <f>IF(AND(Inputs!E31="OK",Inputs!E32="OK"),S56/Inputs!C31+Inputs!C32,NA())</f>
        <v>234.49104400645686</v>
      </c>
      <c r="U56" s="29">
        <f>T56/Inputs!C62</f>
        <v>11.166240190783659</v>
      </c>
      <c r="V56" s="29">
        <f>IF(Inputs!E25="OK",(T56-Inputs!C32)/Inputs!C25,NA())</f>
        <v>54.122761001614215</v>
      </c>
      <c r="W56" s="30">
        <f t="shared" si="41"/>
        <v>-1.1920928628872649E-7</v>
      </c>
      <c r="X56" s="31">
        <f t="shared" si="42"/>
        <v>5.0333926846836716</v>
      </c>
      <c r="Y56" s="31">
        <f t="shared" si="43"/>
        <v>7.550089027025507</v>
      </c>
      <c r="Z56" s="31">
        <f t="shared" si="44"/>
        <v>8.8084371981964242</v>
      </c>
      <c r="AA56" s="31">
        <f t="shared" si="45"/>
        <v>9.4376112837818837</v>
      </c>
      <c r="AB56" s="31">
        <f t="shared" si="46"/>
        <v>9.7521983265746126</v>
      </c>
      <c r="AC56" s="31">
        <f t="shared" si="47"/>
        <v>9.9094918479709779</v>
      </c>
      <c r="AD56" s="31">
        <f t="shared" si="48"/>
        <v>9.9881386086691606</v>
      </c>
      <c r="AE56" s="31">
        <f t="shared" si="49"/>
        <v>10.027461989018251</v>
      </c>
      <c r="AF56" s="31">
        <f t="shared" si="50"/>
        <v>10.047123679192797</v>
      </c>
      <c r="AG56" s="31">
        <f t="shared" si="51"/>
        <v>10.056954524280069</v>
      </c>
      <c r="AH56" s="31">
        <f t="shared" si="52"/>
        <v>10.061869946823705</v>
      </c>
      <c r="AI56" s="31">
        <f t="shared" si="53"/>
        <v>10.064327658095523</v>
      </c>
      <c r="AJ56" s="31">
        <f t="shared" si="54"/>
        <v>10.065556513731433</v>
      </c>
      <c r="AK56" s="31">
        <f t="shared" si="55"/>
        <v>10.066170941549387</v>
      </c>
      <c r="AL56" s="31">
        <f t="shared" si="56"/>
        <v>10.066478155458364</v>
      </c>
      <c r="AM56" s="31">
        <f t="shared" si="57"/>
        <v>10.066631762412854</v>
      </c>
      <c r="AN56" s="31">
        <f t="shared" si="58"/>
        <v>10.066708565890098</v>
      </c>
      <c r="AO56" s="31">
        <f t="shared" si="59"/>
        <v>10.06674696762872</v>
      </c>
      <c r="AP56" s="31">
        <f t="shared" si="60"/>
        <v>10.066766168498031</v>
      </c>
      <c r="AQ56" s="31">
        <f t="shared" si="61"/>
        <v>10.066775768932686</v>
      </c>
      <c r="AR56" s="31">
        <f t="shared" si="62"/>
        <v>10.066780569150014</v>
      </c>
      <c r="AS56" s="31">
        <f t="shared" si="63"/>
        <v>10.066782969258679</v>
      </c>
      <c r="AT56" s="31">
        <f t="shared" si="64"/>
        <v>10.06678416931301</v>
      </c>
      <c r="AU56" s="31">
        <f t="shared" si="65"/>
        <v>10.066784769340176</v>
      </c>
    </row>
    <row r="57" spans="2:47" ht="22.95" customHeight="1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2:47" ht="22.95" customHeight="1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2:47" ht="22.95" customHeight="1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2:47" ht="22.95" customHeight="1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</sheetData>
  <conditionalFormatting sqref="B2:AU60">
    <cfRule type="containsError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Inputs</vt:lpstr>
      <vt:lpstr>Mission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Gidon Gautel</cp:lastModifiedBy>
  <dcterms:modified xsi:type="dcterms:W3CDTF">2026-09-26T22:48:40Z</dcterms:modified>
</cp:coreProperties>
</file>